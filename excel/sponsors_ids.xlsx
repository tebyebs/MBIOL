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tayyeb/Downloads/Mbiol Backup/"/>
    </mc:Choice>
  </mc:AlternateContent>
  <xr:revisionPtr revIDLastSave="0" documentId="13_ncr:1_{4A4FC266-3BF1-C548-A921-94A3C0364CBC}" xr6:coauthVersionLast="47" xr6:coauthVersionMax="47" xr10:uidLastSave="{00000000-0000-0000-0000-000000000000}"/>
  <bookViews>
    <workbookView xWindow="12160" yWindow="660" windowWidth="14180" windowHeight="15420" xr2:uid="{49929186-8B94-F34F-AB60-841CA792E955}"/>
  </bookViews>
  <sheets>
    <sheet name="sponsors_ids cop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0" i="1" l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75" i="1"/>
  <c r="D67" i="1"/>
  <c r="D68" i="1"/>
  <c r="D69" i="1"/>
  <c r="D70" i="1"/>
  <c r="D71" i="1"/>
  <c r="D72" i="1"/>
  <c r="D73" i="1"/>
  <c r="D74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48" i="1"/>
</calcChain>
</file>

<file path=xl/sharedStrings.xml><?xml version="1.0" encoding="utf-8"?>
<sst xmlns="http://schemas.openxmlformats.org/spreadsheetml/2006/main" count="993" uniqueCount="145">
  <si>
    <t>sponsor_name</t>
  </si>
  <si>
    <t>n</t>
  </si>
  <si>
    <t>bank_id</t>
  </si>
  <si>
    <t>Westervelt Ecological Services, Western Region</t>
  </si>
  <si>
    <t>WI Department of Transportation - Waukesha</t>
  </si>
  <si>
    <t>WI Dept. of Transportation - Superior</t>
  </si>
  <si>
    <t>Environmental Banc &amp; Exchange, LLC</t>
  </si>
  <si>
    <t>Water and Land Solutions</t>
  </si>
  <si>
    <t>Naturion West, LLC</t>
  </si>
  <si>
    <t>EBX-Neuse I, LLC</t>
  </si>
  <si>
    <t>Weyerhaeuser NR Company</t>
  </si>
  <si>
    <t>Wisconsin Department of Transportation</t>
  </si>
  <si>
    <t>Tennessee Stream Mitigation Program (TSMP)</t>
  </si>
  <si>
    <t>Restoration Systems, LLC</t>
  </si>
  <si>
    <t>EIP III Credit Co., LLC</t>
  </si>
  <si>
    <t>WI Department of Transportation - GB</t>
  </si>
  <si>
    <t>Delta Land Services, LLC</t>
  </si>
  <si>
    <t>WI Department of Transportation - EC</t>
  </si>
  <si>
    <t>WI Department of Transportation - LAX</t>
  </si>
  <si>
    <t>WI Department of Transportation - WR</t>
  </si>
  <si>
    <t>EIP Credit Co., LLC</t>
  </si>
  <si>
    <t>Wildlands Engineering, Inc.</t>
  </si>
  <si>
    <t>Swallow Tail, LLC</t>
  </si>
  <si>
    <t>Davey Mitigation c/o Davey Resource Group, Inc.</t>
  </si>
  <si>
    <t>Charlotte-Mecklenburg Storm Water Services</t>
  </si>
  <si>
    <t>Westervelt Ecological Services, Southeast Region</t>
  </si>
  <si>
    <t>Wildlands, Inc.</t>
  </si>
  <si>
    <t>Georgia Department of Transportation</t>
  </si>
  <si>
    <t>Wildlands, Inc. c/o Domain Capital Group</t>
  </si>
  <si>
    <t>New Hampshire Department of Environmental Services</t>
  </si>
  <si>
    <t>EBX-Resource Environmental Solutions</t>
  </si>
  <si>
    <t>Evergreen Environmental, LLC</t>
  </si>
  <si>
    <t>Southern States Land and Timber, LLC</t>
  </si>
  <si>
    <t>Ducks Unlimited - Great Plains Region</t>
  </si>
  <si>
    <t>First Pennsylvania Resource, LLC</t>
  </si>
  <si>
    <t>Nebraska Department of Transportation</t>
  </si>
  <si>
    <t>Naturion East, LLC</t>
  </si>
  <si>
    <t>RES, LLC</t>
  </si>
  <si>
    <t>Tetonka, LLP</t>
  </si>
  <si>
    <t>Virginia Department of Transportation</t>
  </si>
  <si>
    <t>WI Department of Transportation - MAD</t>
  </si>
  <si>
    <t>EBX - Resource Environmental Solutions</t>
  </si>
  <si>
    <t>Kentucky Department of Fish &amp; Wildlife Resources</t>
  </si>
  <si>
    <t>Alabama Department of Transportation2</t>
  </si>
  <si>
    <t>CreekBankers, Inc.</t>
  </si>
  <si>
    <t>Davey Resource Group, Inc. dba Davey Mitigation</t>
  </si>
  <si>
    <t>Kentucky Transportation Cabinet</t>
  </si>
  <si>
    <t>National Fish and Wildlife Foundation</t>
  </si>
  <si>
    <t>Pennsylvania Department of Transportation - Bureau of Project Delivery</t>
  </si>
  <si>
    <t>Restoration Systems LLC</t>
  </si>
  <si>
    <t>Water and Land Solutions, LLC</t>
  </si>
  <si>
    <t>Jon Kasitz - First Pennsylvania Resource, LLC</t>
  </si>
  <si>
    <t>Wildlands Holdings X, LLC</t>
  </si>
  <si>
    <t>Byrd Creek, LLC</t>
  </si>
  <si>
    <t>Department of Transportation - CA - District 11</t>
  </si>
  <si>
    <t>Department of Transportation - PA - District 9</t>
  </si>
  <si>
    <t>Ecotone, LLC</t>
  </si>
  <si>
    <t>Great Dismal Swamp RestorationBank, LLC</t>
  </si>
  <si>
    <t>JMB Partnership, LLC</t>
  </si>
  <si>
    <t>ND-DOT North Dakota Dept of Transportation</t>
  </si>
  <si>
    <t>North Carolina Division of Mitigation Services</t>
  </si>
  <si>
    <t>RES, LLC.</t>
  </si>
  <si>
    <t>Alabama Department of Transportation</t>
  </si>
  <si>
    <t>Bridgeport Mitigation LLC</t>
  </si>
  <si>
    <t>Clearwater Mitigation III LLC</t>
  </si>
  <si>
    <t>Environmental Banc &amp; Exchange, L.L.C.</t>
  </si>
  <si>
    <t>MD State Highway Administration</t>
  </si>
  <si>
    <t>Minnesota Department of Transportation</t>
  </si>
  <si>
    <t>Mitigation Services Inc</t>
  </si>
  <si>
    <t>Montana Freshwater Partners (Formerly MARS)</t>
  </si>
  <si>
    <t>San Diego, County of</t>
  </si>
  <si>
    <t>Stream +  Wetlands Foundation</t>
  </si>
  <si>
    <t>Wild-TX Lands, LLC</t>
  </si>
  <si>
    <t>Sponsor</t>
  </si>
  <si>
    <t>Classification</t>
  </si>
  <si>
    <t>Details</t>
  </si>
  <si>
    <t>Westervelt Ecological Services (Western &amp; Southeast Regions)</t>
  </si>
  <si>
    <t>Privately held company</t>
  </si>
  <si>
    <t>Subsidiary of Westervelt Company, a long-standing privately held land and natural-resources firm; no public listing or PE ownership disclosed.</t>
  </si>
  <si>
    <t>WI Dept. of Transportation (all districts listed)</t>
  </si>
  <si>
    <t>Government / authority</t>
  </si>
  <si>
    <t>Wisconsin state transportation agency; public government entity.</t>
  </si>
  <si>
    <t>Environmental Banc &amp; Exchange, LLC (EBX)</t>
  </si>
  <si>
    <t>National mitigation banking firm; privately owned, not publicly traded.</t>
  </si>
  <si>
    <t>Private mitigation banking and restoration firm; no public or PE disclosures.</t>
  </si>
  <si>
    <t>Naturion West, LLC / Naturion East, LLC</t>
  </si>
  <si>
    <t>Private equity–owned</t>
  </si>
  <si>
    <t>Part of Naturion, a mitigation banking platform backed by private equity (reported in industry press).</t>
  </si>
  <si>
    <t>Project-level subsidiary of Environmental Banc &amp; Exchange.</t>
  </si>
  <si>
    <t>Publicly listed company</t>
  </si>
  <si>
    <t>State-run mitigation program administered by Tennessee agencies.</t>
  </si>
  <si>
    <t>EIP III Credit Co., LLC / EIP Credit Co., LLC</t>
  </si>
  <si>
    <t>Private mitigation/restoration services firm; no public or PE evidence.</t>
  </si>
  <si>
    <t>Private engineering and mitigation services firm.</t>
  </si>
  <si>
    <t>Project-specific mitigation entity; no public or PE disclosures.</t>
  </si>
  <si>
    <t>Davey Resource Group, Inc. / Davey Mitigation</t>
  </si>
  <si>
    <t>Municipal stormwater utility (local government).</t>
  </si>
  <si>
    <t>Private mitigation banking firm; not publicly listed.</t>
  </si>
  <si>
    <t>State DOT.</t>
  </si>
  <si>
    <t>State environmental agency.</t>
  </si>
  <si>
    <t>EBX – Resource Environmental Solutions</t>
  </si>
  <si>
    <t>Appears to reference EBX project entity; not publicly traded.</t>
  </si>
  <si>
    <t>Private environmental services firm.</t>
  </si>
  <si>
    <t>Private land and mitigation entity.</t>
  </si>
  <si>
    <t>Ducks Unlimited – Great Plains Region</t>
  </si>
  <si>
    <t>Non-profit</t>
  </si>
  <si>
    <t>501(c)(3) conservation organization.</t>
  </si>
  <si>
    <t>Private mitigation banking entity.</t>
  </si>
  <si>
    <t>RES, LLC / RES, LLC.</t>
  </si>
  <si>
    <t>Private partnership; no public listing evidence.</t>
  </si>
  <si>
    <t>Kentucky Dept. of Fish &amp; Wildlife Resources</t>
  </si>
  <si>
    <t>State wildlife agency.</t>
  </si>
  <si>
    <t>Private mitigation banking firm.</t>
  </si>
  <si>
    <t>State transportation authority.</t>
  </si>
  <si>
    <t>Congressionally chartered nonprofit (not a government agency).</t>
  </si>
  <si>
    <t>Pennsylvania DOT – Bureau of Project Delivery</t>
  </si>
  <si>
    <t>State DOT division.</t>
  </si>
  <si>
    <t>Jon Kasitz – First Pennsylvania Resource, LLC</t>
  </si>
  <si>
    <t>Individual-associated private mitigation entity.</t>
  </si>
  <si>
    <t>Holding company associated with Wildlands; no public or PE evidence.</t>
  </si>
  <si>
    <t>Project-level mitigation entity.</t>
  </si>
  <si>
    <t>CA DOT – District 11 / PA DOT – District 9</t>
  </si>
  <si>
    <t>State DOT districts.</t>
  </si>
  <si>
    <t>Private ecological restoration firm.</t>
  </si>
  <si>
    <t>Project-specific mitigation bank.</t>
  </si>
  <si>
    <t>Private partnership entity.</t>
  </si>
  <si>
    <t>North Dakota DOT</t>
  </si>
  <si>
    <t>State-run mitigation program.</t>
  </si>
  <si>
    <t>Project-specific mitigation entity.</t>
  </si>
  <si>
    <t>Maryland DOT agency.</t>
  </si>
  <si>
    <t>Private mitigation services provider.</t>
  </si>
  <si>
    <t>Montana Freshwater Partners (formerly MARS)</t>
  </si>
  <si>
    <t>Private mitigation banking platform.</t>
  </si>
  <si>
    <t>County government.</t>
  </si>
  <si>
    <t>Stream + Wetlands Foundation</t>
  </si>
  <si>
    <t>Conservation nonprofit organization.</t>
  </si>
  <si>
    <t>Private land/mitigation entity.</t>
  </si>
  <si>
    <t>classification</t>
  </si>
  <si>
    <t>Subsidiary of Weyerhaeuser (NYSE: WY), a publicly traded timber and natural resources company.</t>
  </si>
  <si>
    <t>Known as RES (Resource Environmental Solutions); majority owned by EaglePoint / KKR-backed funds (via EIP structures).</t>
  </si>
  <si>
    <t>Credit-holding entities tied to Environmental Improvement Partners (EIP), a PE firm focused on environmental infrastructure.</t>
  </si>
  <si>
    <t>Subsidiary of The Davey Tree Expert Company, which is employee-owned (ESOP), not publicly traded.</t>
  </si>
  <si>
    <t>Indicates ownership or capital backing by Domain Capital Group, an investment firm.</t>
  </si>
  <si>
    <t>Resource Environmental Solutions, PE-backed environmental mitigation platform.</t>
  </si>
  <si>
    <t>Government/authority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</si>
</sst>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62441-E224-E948-B346-EEA35E56B4F2}">
  <dimension ref="A1:G776"/>
  <sheetViews>
    <sheetView tabSelected="1" workbookViewId="0">
      <selection activeCell="D149" sqref="D149"/>
    </sheetView>
  </sheetViews>
  <sheetFormatPr baseColWidth="10" defaultRowHeight="16" x14ac:dyDescent="0.2"/>
  <cols>
    <col min="1" max="1" width="32.6640625" customWidth="1"/>
    <col min="4" max="4" width="21.33203125" customWidth="1"/>
    <col min="5" max="5" width="38.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137</v>
      </c>
      <c r="E1" s="1" t="s">
        <v>73</v>
      </c>
      <c r="F1" s="1" t="s">
        <v>74</v>
      </c>
      <c r="G1" s="1" t="s">
        <v>75</v>
      </c>
    </row>
    <row r="2" spans="1:7" x14ac:dyDescent="0.2">
      <c r="A2" t="s">
        <v>3</v>
      </c>
      <c r="B2">
        <v>70</v>
      </c>
      <c r="C2">
        <v>2637</v>
      </c>
      <c r="D2" s="1" t="s">
        <v>77</v>
      </c>
      <c r="E2" s="1" t="s">
        <v>76</v>
      </c>
      <c r="F2" s="1" t="s">
        <v>77</v>
      </c>
      <c r="G2" s="1" t="s">
        <v>78</v>
      </c>
    </row>
    <row r="3" spans="1:7" x14ac:dyDescent="0.2">
      <c r="A3" t="s">
        <v>3</v>
      </c>
      <c r="B3">
        <v>70</v>
      </c>
      <c r="C3">
        <v>4732</v>
      </c>
      <c r="D3" s="1" t="s">
        <v>77</v>
      </c>
      <c r="E3" s="1" t="s">
        <v>79</v>
      </c>
      <c r="F3" s="1" t="s">
        <v>80</v>
      </c>
      <c r="G3" s="1" t="s">
        <v>81</v>
      </c>
    </row>
    <row r="4" spans="1:7" x14ac:dyDescent="0.2">
      <c r="A4" t="s">
        <v>3</v>
      </c>
      <c r="B4">
        <v>70</v>
      </c>
      <c r="C4">
        <v>3201</v>
      </c>
      <c r="D4" s="1" t="s">
        <v>77</v>
      </c>
      <c r="E4" s="1" t="s">
        <v>82</v>
      </c>
      <c r="F4" s="1" t="s">
        <v>77</v>
      </c>
      <c r="G4" s="1" t="s">
        <v>83</v>
      </c>
    </row>
    <row r="5" spans="1:7" x14ac:dyDescent="0.2">
      <c r="A5" t="s">
        <v>3</v>
      </c>
      <c r="B5">
        <v>70</v>
      </c>
      <c r="C5">
        <v>1686</v>
      </c>
      <c r="D5" s="1" t="s">
        <v>77</v>
      </c>
      <c r="E5" s="1" t="s">
        <v>50</v>
      </c>
      <c r="F5" s="1" t="s">
        <v>77</v>
      </c>
      <c r="G5" s="1" t="s">
        <v>84</v>
      </c>
    </row>
    <row r="6" spans="1:7" x14ac:dyDescent="0.2">
      <c r="A6" t="s">
        <v>3</v>
      </c>
      <c r="B6">
        <v>70</v>
      </c>
      <c r="C6">
        <v>6600</v>
      </c>
      <c r="D6" s="1" t="s">
        <v>77</v>
      </c>
      <c r="E6" s="1" t="s">
        <v>85</v>
      </c>
      <c r="F6" s="1" t="s">
        <v>86</v>
      </c>
      <c r="G6" s="1" t="s">
        <v>87</v>
      </c>
    </row>
    <row r="7" spans="1:7" x14ac:dyDescent="0.2">
      <c r="A7" t="s">
        <v>3</v>
      </c>
      <c r="B7">
        <v>70</v>
      </c>
      <c r="C7">
        <v>6559</v>
      </c>
      <c r="D7" s="1" t="s">
        <v>77</v>
      </c>
      <c r="E7" s="1" t="s">
        <v>9</v>
      </c>
      <c r="F7" s="1" t="s">
        <v>77</v>
      </c>
      <c r="G7" s="1" t="s">
        <v>88</v>
      </c>
    </row>
    <row r="8" spans="1:7" x14ac:dyDescent="0.2">
      <c r="A8" t="s">
        <v>3</v>
      </c>
      <c r="B8">
        <v>70</v>
      </c>
      <c r="C8">
        <v>374</v>
      </c>
      <c r="D8" s="1" t="s">
        <v>77</v>
      </c>
      <c r="E8" s="1" t="s">
        <v>10</v>
      </c>
      <c r="F8" s="1" t="s">
        <v>89</v>
      </c>
      <c r="G8" s="1" t="s">
        <v>138</v>
      </c>
    </row>
    <row r="9" spans="1:7" x14ac:dyDescent="0.2">
      <c r="A9" t="s">
        <v>3</v>
      </c>
      <c r="B9">
        <v>70</v>
      </c>
      <c r="C9">
        <v>1446</v>
      </c>
      <c r="D9" s="1" t="s">
        <v>77</v>
      </c>
      <c r="E9" s="1" t="s">
        <v>12</v>
      </c>
      <c r="F9" s="1" t="s">
        <v>80</v>
      </c>
      <c r="G9" s="1" t="s">
        <v>90</v>
      </c>
    </row>
    <row r="10" spans="1:7" x14ac:dyDescent="0.2">
      <c r="A10" t="s">
        <v>3</v>
      </c>
      <c r="B10">
        <v>70</v>
      </c>
      <c r="C10">
        <v>3447</v>
      </c>
      <c r="D10" s="1" t="s">
        <v>77</v>
      </c>
      <c r="E10" s="1" t="s">
        <v>13</v>
      </c>
      <c r="F10" s="1" t="s">
        <v>86</v>
      </c>
      <c r="G10" s="1" t="s">
        <v>139</v>
      </c>
    </row>
    <row r="11" spans="1:7" x14ac:dyDescent="0.2">
      <c r="A11" t="s">
        <v>3</v>
      </c>
      <c r="B11">
        <v>70</v>
      </c>
      <c r="C11">
        <v>5768</v>
      </c>
      <c r="D11" s="1" t="s">
        <v>77</v>
      </c>
      <c r="E11" s="1" t="s">
        <v>91</v>
      </c>
      <c r="F11" s="1" t="s">
        <v>86</v>
      </c>
      <c r="G11" s="1" t="s">
        <v>140</v>
      </c>
    </row>
    <row r="12" spans="1:7" x14ac:dyDescent="0.2">
      <c r="A12" t="s">
        <v>3</v>
      </c>
      <c r="B12">
        <v>70</v>
      </c>
      <c r="C12">
        <v>7075</v>
      </c>
      <c r="D12" s="1" t="s">
        <v>77</v>
      </c>
      <c r="E12" s="1" t="s">
        <v>16</v>
      </c>
      <c r="F12" s="1" t="s">
        <v>77</v>
      </c>
      <c r="G12" s="1" t="s">
        <v>92</v>
      </c>
    </row>
    <row r="13" spans="1:7" x14ac:dyDescent="0.2">
      <c r="A13" t="s">
        <v>3</v>
      </c>
      <c r="B13">
        <v>70</v>
      </c>
      <c r="C13">
        <v>437</v>
      </c>
      <c r="D13" s="1" t="s">
        <v>77</v>
      </c>
      <c r="E13" s="1" t="s">
        <v>21</v>
      </c>
      <c r="F13" s="1" t="s">
        <v>77</v>
      </c>
      <c r="G13" s="1" t="s">
        <v>93</v>
      </c>
    </row>
    <row r="14" spans="1:7" x14ac:dyDescent="0.2">
      <c r="A14" t="s">
        <v>3</v>
      </c>
      <c r="B14">
        <v>70</v>
      </c>
      <c r="C14">
        <v>2160</v>
      </c>
      <c r="D14" s="1" t="s">
        <v>77</v>
      </c>
      <c r="E14" s="1" t="s">
        <v>22</v>
      </c>
      <c r="F14" s="1" t="s">
        <v>77</v>
      </c>
      <c r="G14" s="1" t="s">
        <v>94</v>
      </c>
    </row>
    <row r="15" spans="1:7" x14ac:dyDescent="0.2">
      <c r="A15" t="s">
        <v>3</v>
      </c>
      <c r="B15">
        <v>70</v>
      </c>
      <c r="C15">
        <v>5907</v>
      </c>
      <c r="D15" s="1" t="s">
        <v>77</v>
      </c>
      <c r="E15" s="1" t="s">
        <v>95</v>
      </c>
      <c r="F15" s="1" t="s">
        <v>77</v>
      </c>
      <c r="G15" s="1" t="s">
        <v>141</v>
      </c>
    </row>
    <row r="16" spans="1:7" x14ac:dyDescent="0.2">
      <c r="A16" t="s">
        <v>3</v>
      </c>
      <c r="B16">
        <v>70</v>
      </c>
      <c r="C16">
        <v>2492</v>
      </c>
      <c r="D16" s="1" t="s">
        <v>77</v>
      </c>
      <c r="E16" s="1" t="s">
        <v>24</v>
      </c>
      <c r="F16" s="1" t="s">
        <v>80</v>
      </c>
      <c r="G16" s="1" t="s">
        <v>96</v>
      </c>
    </row>
    <row r="17" spans="1:7" x14ac:dyDescent="0.2">
      <c r="A17" t="s">
        <v>3</v>
      </c>
      <c r="B17">
        <v>70</v>
      </c>
      <c r="C17">
        <v>5150</v>
      </c>
      <c r="D17" s="1" t="s">
        <v>77</v>
      </c>
      <c r="E17" s="1" t="s">
        <v>26</v>
      </c>
      <c r="F17" s="1" t="s">
        <v>77</v>
      </c>
      <c r="G17" s="1" t="s">
        <v>97</v>
      </c>
    </row>
    <row r="18" spans="1:7" x14ac:dyDescent="0.2">
      <c r="A18" t="s">
        <v>3</v>
      </c>
      <c r="B18">
        <v>70</v>
      </c>
      <c r="C18">
        <v>436</v>
      </c>
      <c r="D18" s="1" t="s">
        <v>77</v>
      </c>
      <c r="E18" s="1" t="s">
        <v>28</v>
      </c>
      <c r="F18" s="1" t="s">
        <v>86</v>
      </c>
      <c r="G18" s="1" t="s">
        <v>142</v>
      </c>
    </row>
    <row r="19" spans="1:7" x14ac:dyDescent="0.2">
      <c r="A19" t="s">
        <v>3</v>
      </c>
      <c r="B19">
        <v>70</v>
      </c>
      <c r="C19">
        <v>4924</v>
      </c>
      <c r="D19" s="1" t="s">
        <v>77</v>
      </c>
      <c r="E19" s="1" t="s">
        <v>27</v>
      </c>
      <c r="F19" s="1" t="s">
        <v>80</v>
      </c>
      <c r="G19" s="1" t="s">
        <v>98</v>
      </c>
    </row>
    <row r="20" spans="1:7" x14ac:dyDescent="0.2">
      <c r="A20" t="s">
        <v>3</v>
      </c>
      <c r="B20">
        <v>70</v>
      </c>
      <c r="C20">
        <v>5534</v>
      </c>
      <c r="D20" s="1" t="s">
        <v>77</v>
      </c>
      <c r="E20" s="1" t="s">
        <v>29</v>
      </c>
      <c r="F20" s="1" t="s">
        <v>80</v>
      </c>
      <c r="G20" s="1" t="s">
        <v>99</v>
      </c>
    </row>
    <row r="21" spans="1:7" x14ac:dyDescent="0.2">
      <c r="A21" t="s">
        <v>3</v>
      </c>
      <c r="B21">
        <v>70</v>
      </c>
      <c r="C21">
        <v>6367</v>
      </c>
      <c r="D21" s="1" t="s">
        <v>77</v>
      </c>
      <c r="E21" s="1" t="s">
        <v>100</v>
      </c>
      <c r="F21" s="1" t="s">
        <v>77</v>
      </c>
      <c r="G21" s="1" t="s">
        <v>101</v>
      </c>
    </row>
    <row r="22" spans="1:7" x14ac:dyDescent="0.2">
      <c r="A22" t="s">
        <v>4</v>
      </c>
      <c r="B22">
        <v>66</v>
      </c>
      <c r="C22">
        <v>1285</v>
      </c>
      <c r="D22" s="1" t="s">
        <v>144</v>
      </c>
      <c r="E22" s="1" t="s">
        <v>31</v>
      </c>
      <c r="F22" s="1" t="s">
        <v>77</v>
      </c>
      <c r="G22" s="1" t="s">
        <v>102</v>
      </c>
    </row>
    <row r="23" spans="1:7" x14ac:dyDescent="0.2">
      <c r="A23" t="s">
        <v>4</v>
      </c>
      <c r="B23">
        <v>66</v>
      </c>
      <c r="C23">
        <v>1299</v>
      </c>
      <c r="D23" s="1" t="s">
        <v>144</v>
      </c>
      <c r="E23" s="1" t="s">
        <v>32</v>
      </c>
      <c r="F23" s="1" t="s">
        <v>77</v>
      </c>
      <c r="G23" s="1" t="s">
        <v>103</v>
      </c>
    </row>
    <row r="24" spans="1:7" x14ac:dyDescent="0.2">
      <c r="A24" t="s">
        <v>4</v>
      </c>
      <c r="B24">
        <v>66</v>
      </c>
      <c r="C24">
        <v>1274</v>
      </c>
      <c r="D24" s="1" t="s">
        <v>144</v>
      </c>
      <c r="E24" s="1" t="s">
        <v>104</v>
      </c>
      <c r="F24" s="1" t="s">
        <v>105</v>
      </c>
      <c r="G24" s="1" t="s">
        <v>106</v>
      </c>
    </row>
    <row r="25" spans="1:7" x14ac:dyDescent="0.2">
      <c r="A25" t="s">
        <v>4</v>
      </c>
      <c r="B25">
        <v>66</v>
      </c>
      <c r="C25">
        <v>1288</v>
      </c>
      <c r="D25" s="1" t="s">
        <v>144</v>
      </c>
      <c r="E25" s="1" t="s">
        <v>34</v>
      </c>
      <c r="F25" s="1" t="s">
        <v>77</v>
      </c>
      <c r="G25" s="1" t="s">
        <v>107</v>
      </c>
    </row>
    <row r="26" spans="1:7" x14ac:dyDescent="0.2">
      <c r="A26" t="s">
        <v>4</v>
      </c>
      <c r="B26">
        <v>66</v>
      </c>
      <c r="C26">
        <v>956</v>
      </c>
      <c r="D26" s="1" t="s">
        <v>144</v>
      </c>
      <c r="E26" s="1" t="s">
        <v>35</v>
      </c>
      <c r="F26" s="1" t="s">
        <v>80</v>
      </c>
      <c r="G26" s="1" t="s">
        <v>98</v>
      </c>
    </row>
    <row r="27" spans="1:7" x14ac:dyDescent="0.2">
      <c r="A27" t="s">
        <v>4</v>
      </c>
      <c r="B27">
        <v>66</v>
      </c>
      <c r="C27">
        <v>1280</v>
      </c>
      <c r="D27" s="1" t="s">
        <v>144</v>
      </c>
      <c r="E27" s="1" t="s">
        <v>108</v>
      </c>
      <c r="F27" s="1" t="s">
        <v>86</v>
      </c>
      <c r="G27" s="1" t="s">
        <v>143</v>
      </c>
    </row>
    <row r="28" spans="1:7" x14ac:dyDescent="0.2">
      <c r="A28" t="s">
        <v>4</v>
      </c>
      <c r="B28">
        <v>66</v>
      </c>
      <c r="C28">
        <v>1279</v>
      </c>
      <c r="D28" s="1" t="s">
        <v>144</v>
      </c>
      <c r="E28" s="1" t="s">
        <v>38</v>
      </c>
      <c r="F28" s="1" t="s">
        <v>77</v>
      </c>
      <c r="G28" s="1" t="s">
        <v>109</v>
      </c>
    </row>
    <row r="29" spans="1:7" x14ac:dyDescent="0.2">
      <c r="A29" t="s">
        <v>4</v>
      </c>
      <c r="B29">
        <v>66</v>
      </c>
      <c r="C29">
        <v>997</v>
      </c>
      <c r="D29" s="1" t="s">
        <v>144</v>
      </c>
      <c r="E29" s="1" t="s">
        <v>39</v>
      </c>
      <c r="F29" s="1" t="s">
        <v>80</v>
      </c>
      <c r="G29" s="1" t="s">
        <v>98</v>
      </c>
    </row>
    <row r="30" spans="1:7" x14ac:dyDescent="0.2">
      <c r="A30" t="s">
        <v>4</v>
      </c>
      <c r="B30">
        <v>66</v>
      </c>
      <c r="C30">
        <v>996</v>
      </c>
      <c r="D30" s="1" t="s">
        <v>144</v>
      </c>
      <c r="E30" s="1" t="s">
        <v>110</v>
      </c>
      <c r="F30" s="1" t="s">
        <v>80</v>
      </c>
      <c r="G30" s="1" t="s">
        <v>111</v>
      </c>
    </row>
    <row r="31" spans="1:7" x14ac:dyDescent="0.2">
      <c r="A31" t="s">
        <v>4</v>
      </c>
      <c r="B31">
        <v>66</v>
      </c>
      <c r="C31">
        <v>1001</v>
      </c>
      <c r="D31" s="1" t="s">
        <v>144</v>
      </c>
      <c r="E31" s="1" t="s">
        <v>62</v>
      </c>
      <c r="F31" s="1" t="s">
        <v>80</v>
      </c>
      <c r="G31" s="1" t="s">
        <v>98</v>
      </c>
    </row>
    <row r="32" spans="1:7" x14ac:dyDescent="0.2">
      <c r="A32" t="s">
        <v>4</v>
      </c>
      <c r="B32">
        <v>66</v>
      </c>
      <c r="C32">
        <v>971</v>
      </c>
      <c r="D32" s="1" t="s">
        <v>144</v>
      </c>
      <c r="E32" s="1" t="s">
        <v>44</v>
      </c>
      <c r="F32" s="1" t="s">
        <v>77</v>
      </c>
      <c r="G32" s="1" t="s">
        <v>112</v>
      </c>
    </row>
    <row r="33" spans="1:7" x14ac:dyDescent="0.2">
      <c r="A33" t="s">
        <v>4</v>
      </c>
      <c r="B33">
        <v>66</v>
      </c>
      <c r="C33">
        <v>999</v>
      </c>
      <c r="D33" s="1" t="s">
        <v>144</v>
      </c>
      <c r="E33" s="1" t="s">
        <v>46</v>
      </c>
      <c r="F33" s="1" t="s">
        <v>80</v>
      </c>
      <c r="G33" s="1" t="s">
        <v>113</v>
      </c>
    </row>
    <row r="34" spans="1:7" x14ac:dyDescent="0.2">
      <c r="A34" t="s">
        <v>4</v>
      </c>
      <c r="B34">
        <v>66</v>
      </c>
      <c r="C34">
        <v>1286</v>
      </c>
      <c r="D34" s="1" t="s">
        <v>144</v>
      </c>
      <c r="E34" s="1" t="s">
        <v>47</v>
      </c>
      <c r="F34" s="1" t="s">
        <v>105</v>
      </c>
      <c r="G34" s="1" t="s">
        <v>114</v>
      </c>
    </row>
    <row r="35" spans="1:7" x14ac:dyDescent="0.2">
      <c r="A35" t="s">
        <v>5</v>
      </c>
      <c r="B35">
        <v>65</v>
      </c>
      <c r="C35">
        <v>951</v>
      </c>
      <c r="D35" s="1" t="s">
        <v>144</v>
      </c>
      <c r="E35" s="1" t="s">
        <v>115</v>
      </c>
      <c r="F35" s="1" t="s">
        <v>80</v>
      </c>
      <c r="G35" s="1" t="s">
        <v>116</v>
      </c>
    </row>
    <row r="36" spans="1:7" x14ac:dyDescent="0.2">
      <c r="A36" t="s">
        <v>5</v>
      </c>
      <c r="B36">
        <v>65</v>
      </c>
      <c r="C36">
        <v>975</v>
      </c>
      <c r="D36" s="1" t="s">
        <v>144</v>
      </c>
      <c r="E36" s="1" t="s">
        <v>117</v>
      </c>
      <c r="F36" s="1" t="s">
        <v>77</v>
      </c>
      <c r="G36" s="1" t="s">
        <v>118</v>
      </c>
    </row>
    <row r="37" spans="1:7" x14ac:dyDescent="0.2">
      <c r="A37" t="s">
        <v>5</v>
      </c>
      <c r="B37">
        <v>65</v>
      </c>
      <c r="C37">
        <v>1023</v>
      </c>
      <c r="D37" s="1" t="s">
        <v>144</v>
      </c>
      <c r="E37" s="1" t="s">
        <v>52</v>
      </c>
      <c r="F37" s="1" t="s">
        <v>77</v>
      </c>
      <c r="G37" s="1" t="s">
        <v>119</v>
      </c>
    </row>
    <row r="38" spans="1:7" x14ac:dyDescent="0.2">
      <c r="A38" t="s">
        <v>5</v>
      </c>
      <c r="B38">
        <v>65</v>
      </c>
      <c r="C38">
        <v>1301</v>
      </c>
      <c r="D38" s="1" t="s">
        <v>144</v>
      </c>
      <c r="E38" s="1" t="s">
        <v>53</v>
      </c>
      <c r="F38" s="1" t="s">
        <v>77</v>
      </c>
      <c r="G38" s="1" t="s">
        <v>120</v>
      </c>
    </row>
    <row r="39" spans="1:7" x14ac:dyDescent="0.2">
      <c r="A39" t="s">
        <v>5</v>
      </c>
      <c r="B39">
        <v>65</v>
      </c>
      <c r="C39">
        <v>960</v>
      </c>
      <c r="D39" s="1" t="s">
        <v>144</v>
      </c>
      <c r="E39" s="1" t="s">
        <v>121</v>
      </c>
      <c r="F39" s="1" t="s">
        <v>80</v>
      </c>
      <c r="G39" s="1" t="s">
        <v>122</v>
      </c>
    </row>
    <row r="40" spans="1:7" x14ac:dyDescent="0.2">
      <c r="A40" t="s">
        <v>5</v>
      </c>
      <c r="B40">
        <v>65</v>
      </c>
      <c r="C40">
        <v>977</v>
      </c>
      <c r="D40" s="1" t="s">
        <v>144</v>
      </c>
      <c r="E40" s="1" t="s">
        <v>56</v>
      </c>
      <c r="F40" s="1" t="s">
        <v>77</v>
      </c>
      <c r="G40" s="1" t="s">
        <v>123</v>
      </c>
    </row>
    <row r="41" spans="1:7" x14ac:dyDescent="0.2">
      <c r="A41" t="s">
        <v>5</v>
      </c>
      <c r="B41">
        <v>65</v>
      </c>
      <c r="C41">
        <v>1256</v>
      </c>
      <c r="D41" s="1" t="s">
        <v>144</v>
      </c>
      <c r="E41" s="1" t="s">
        <v>57</v>
      </c>
      <c r="F41" s="1" t="s">
        <v>77</v>
      </c>
      <c r="G41" s="1" t="s">
        <v>124</v>
      </c>
    </row>
    <row r="42" spans="1:7" x14ac:dyDescent="0.2">
      <c r="A42" t="s">
        <v>5</v>
      </c>
      <c r="B42">
        <v>65</v>
      </c>
      <c r="C42">
        <v>1255</v>
      </c>
      <c r="D42" s="1" t="s">
        <v>144</v>
      </c>
      <c r="E42" s="1" t="s">
        <v>58</v>
      </c>
      <c r="F42" s="1" t="s">
        <v>77</v>
      </c>
      <c r="G42" s="1" t="s">
        <v>125</v>
      </c>
    </row>
    <row r="43" spans="1:7" x14ac:dyDescent="0.2">
      <c r="A43" t="s">
        <v>5</v>
      </c>
      <c r="B43">
        <v>65</v>
      </c>
      <c r="C43">
        <v>970</v>
      </c>
      <c r="D43" s="1" t="s">
        <v>144</v>
      </c>
      <c r="E43" s="1" t="s">
        <v>126</v>
      </c>
      <c r="F43" s="1" t="s">
        <v>80</v>
      </c>
      <c r="G43" s="1" t="s">
        <v>98</v>
      </c>
    </row>
    <row r="44" spans="1:7" x14ac:dyDescent="0.2">
      <c r="A44" t="s">
        <v>5</v>
      </c>
      <c r="B44">
        <v>65</v>
      </c>
      <c r="C44">
        <v>969</v>
      </c>
      <c r="D44" s="1" t="s">
        <v>144</v>
      </c>
      <c r="E44" s="1" t="s">
        <v>60</v>
      </c>
      <c r="F44" s="1" t="s">
        <v>80</v>
      </c>
      <c r="G44" s="1" t="s">
        <v>127</v>
      </c>
    </row>
    <row r="45" spans="1:7" x14ac:dyDescent="0.2">
      <c r="A45" t="s">
        <v>5</v>
      </c>
      <c r="B45">
        <v>65</v>
      </c>
      <c r="C45">
        <v>957</v>
      </c>
      <c r="D45" s="1" t="s">
        <v>144</v>
      </c>
      <c r="E45" s="1" t="s">
        <v>63</v>
      </c>
      <c r="F45" s="1" t="s">
        <v>77</v>
      </c>
      <c r="G45" s="1" t="s">
        <v>128</v>
      </c>
    </row>
    <row r="46" spans="1:7" x14ac:dyDescent="0.2">
      <c r="A46" t="s">
        <v>5</v>
      </c>
      <c r="B46">
        <v>65</v>
      </c>
      <c r="C46">
        <v>1359</v>
      </c>
      <c r="D46" s="1" t="s">
        <v>144</v>
      </c>
      <c r="E46" s="1" t="s">
        <v>64</v>
      </c>
      <c r="F46" s="1" t="s">
        <v>77</v>
      </c>
      <c r="G46" s="1" t="s">
        <v>128</v>
      </c>
    </row>
    <row r="47" spans="1:7" x14ac:dyDescent="0.2">
      <c r="A47" t="s">
        <v>5</v>
      </c>
      <c r="B47">
        <v>65</v>
      </c>
      <c r="C47">
        <v>1013</v>
      </c>
      <c r="D47" s="1" t="s">
        <v>144</v>
      </c>
      <c r="E47" s="1" t="s">
        <v>66</v>
      </c>
      <c r="F47" s="1" t="s">
        <v>80</v>
      </c>
      <c r="G47" s="1" t="s">
        <v>129</v>
      </c>
    </row>
    <row r="48" spans="1:7" x14ac:dyDescent="0.2">
      <c r="A48" t="s">
        <v>6</v>
      </c>
      <c r="B48">
        <v>56</v>
      </c>
      <c r="C48">
        <v>2966</v>
      </c>
      <c r="D48" t="str">
        <f>_xlfn.XLOOKUP(A48,$E$2:$E$53,$F$2:$F$53,,1,)</f>
        <v>Privately held company</v>
      </c>
      <c r="E48" s="1" t="s">
        <v>67</v>
      </c>
      <c r="F48" s="1" t="s">
        <v>80</v>
      </c>
      <c r="G48" s="1" t="s">
        <v>98</v>
      </c>
    </row>
    <row r="49" spans="1:7" x14ac:dyDescent="0.2">
      <c r="A49" t="s">
        <v>6</v>
      </c>
      <c r="B49">
        <v>56</v>
      </c>
      <c r="C49">
        <v>888</v>
      </c>
      <c r="D49" t="str">
        <f t="shared" ref="D49:D74" si="0">_xlfn.XLOOKUP(A49,$E$2:$E$53,$F$2:$F$53,,1,)</f>
        <v>Privately held company</v>
      </c>
      <c r="E49" s="1" t="s">
        <v>68</v>
      </c>
      <c r="F49" s="1" t="s">
        <v>77</v>
      </c>
      <c r="G49" s="1" t="s">
        <v>130</v>
      </c>
    </row>
    <row r="50" spans="1:7" x14ac:dyDescent="0.2">
      <c r="A50" t="s">
        <v>6</v>
      </c>
      <c r="B50">
        <v>56</v>
      </c>
      <c r="C50">
        <v>4626</v>
      </c>
      <c r="D50" t="str">
        <f t="shared" si="0"/>
        <v>Privately held company</v>
      </c>
      <c r="E50" s="1" t="s">
        <v>131</v>
      </c>
      <c r="F50" s="1" t="s">
        <v>77</v>
      </c>
      <c r="G50" s="1" t="s">
        <v>132</v>
      </c>
    </row>
    <row r="51" spans="1:7" x14ac:dyDescent="0.2">
      <c r="A51" t="s">
        <v>6</v>
      </c>
      <c r="B51">
        <v>56</v>
      </c>
      <c r="C51">
        <v>4625</v>
      </c>
      <c r="D51" t="str">
        <f t="shared" si="0"/>
        <v>Privately held company</v>
      </c>
      <c r="E51" s="1" t="s">
        <v>70</v>
      </c>
      <c r="F51" s="1" t="s">
        <v>80</v>
      </c>
      <c r="G51" s="1" t="s">
        <v>133</v>
      </c>
    </row>
    <row r="52" spans="1:7" x14ac:dyDescent="0.2">
      <c r="A52" t="s">
        <v>6</v>
      </c>
      <c r="B52">
        <v>56</v>
      </c>
      <c r="C52">
        <v>6178</v>
      </c>
      <c r="D52" t="str">
        <f t="shared" si="0"/>
        <v>Privately held company</v>
      </c>
      <c r="E52" s="1" t="s">
        <v>134</v>
      </c>
      <c r="F52" s="1" t="s">
        <v>105</v>
      </c>
      <c r="G52" s="1" t="s">
        <v>135</v>
      </c>
    </row>
    <row r="53" spans="1:7" x14ac:dyDescent="0.2">
      <c r="A53" t="s">
        <v>6</v>
      </c>
      <c r="B53">
        <v>56</v>
      </c>
      <c r="C53">
        <v>5771</v>
      </c>
      <c r="D53" t="str">
        <f t="shared" si="0"/>
        <v>Privately held company</v>
      </c>
      <c r="E53" s="1" t="s">
        <v>72</v>
      </c>
      <c r="F53" s="1" t="s">
        <v>77</v>
      </c>
      <c r="G53" s="1" t="s">
        <v>136</v>
      </c>
    </row>
    <row r="54" spans="1:7" x14ac:dyDescent="0.2">
      <c r="A54" t="s">
        <v>6</v>
      </c>
      <c r="B54">
        <v>56</v>
      </c>
      <c r="C54">
        <v>5973</v>
      </c>
      <c r="D54" t="str">
        <f t="shared" si="0"/>
        <v>Privately held company</v>
      </c>
    </row>
    <row r="55" spans="1:7" x14ac:dyDescent="0.2">
      <c r="A55" t="s">
        <v>6</v>
      </c>
      <c r="B55">
        <v>56</v>
      </c>
      <c r="C55">
        <v>5100</v>
      </c>
      <c r="D55" t="str">
        <f t="shared" si="0"/>
        <v>Privately held company</v>
      </c>
    </row>
    <row r="56" spans="1:7" x14ac:dyDescent="0.2">
      <c r="A56" t="s">
        <v>6</v>
      </c>
      <c r="B56">
        <v>56</v>
      </c>
      <c r="C56">
        <v>4616</v>
      </c>
      <c r="D56" t="str">
        <f t="shared" si="0"/>
        <v>Privately held company</v>
      </c>
    </row>
    <row r="57" spans="1:7" x14ac:dyDescent="0.2">
      <c r="A57" t="s">
        <v>6</v>
      </c>
      <c r="B57">
        <v>56</v>
      </c>
      <c r="C57">
        <v>5135</v>
      </c>
      <c r="D57" t="str">
        <f t="shared" si="0"/>
        <v>Privately held company</v>
      </c>
    </row>
    <row r="58" spans="1:7" x14ac:dyDescent="0.2">
      <c r="A58" t="s">
        <v>6</v>
      </c>
      <c r="B58">
        <v>56</v>
      </c>
      <c r="C58">
        <v>4581</v>
      </c>
      <c r="D58" t="str">
        <f t="shared" si="0"/>
        <v>Privately held company</v>
      </c>
    </row>
    <row r="59" spans="1:7" x14ac:dyDescent="0.2">
      <c r="A59" t="s">
        <v>6</v>
      </c>
      <c r="B59">
        <v>56</v>
      </c>
      <c r="C59">
        <v>4913</v>
      </c>
      <c r="D59" t="str">
        <f t="shared" si="0"/>
        <v>Privately held company</v>
      </c>
    </row>
    <row r="60" spans="1:7" x14ac:dyDescent="0.2">
      <c r="A60" t="s">
        <v>6</v>
      </c>
      <c r="B60">
        <v>56</v>
      </c>
      <c r="C60">
        <v>4455</v>
      </c>
      <c r="D60" t="str">
        <f t="shared" si="0"/>
        <v>Privately held company</v>
      </c>
    </row>
    <row r="61" spans="1:7" x14ac:dyDescent="0.2">
      <c r="A61" t="s">
        <v>6</v>
      </c>
      <c r="B61">
        <v>56</v>
      </c>
      <c r="C61">
        <v>4911</v>
      </c>
      <c r="D61" t="str">
        <f t="shared" si="0"/>
        <v>Privately held company</v>
      </c>
    </row>
    <row r="62" spans="1:7" x14ac:dyDescent="0.2">
      <c r="A62" t="s">
        <v>6</v>
      </c>
      <c r="B62">
        <v>56</v>
      </c>
      <c r="C62">
        <v>4910</v>
      </c>
      <c r="D62" t="str">
        <f t="shared" si="0"/>
        <v>Privately held company</v>
      </c>
    </row>
    <row r="63" spans="1:7" x14ac:dyDescent="0.2">
      <c r="A63" t="s">
        <v>6</v>
      </c>
      <c r="B63">
        <v>56</v>
      </c>
      <c r="C63">
        <v>4912</v>
      </c>
      <c r="D63" t="str">
        <f t="shared" si="0"/>
        <v>Privately held company</v>
      </c>
    </row>
    <row r="64" spans="1:7" x14ac:dyDescent="0.2">
      <c r="A64" t="s">
        <v>6</v>
      </c>
      <c r="B64">
        <v>56</v>
      </c>
      <c r="C64">
        <v>7034</v>
      </c>
      <c r="D64" t="str">
        <f t="shared" si="0"/>
        <v>Privately held company</v>
      </c>
    </row>
    <row r="65" spans="1:4" x14ac:dyDescent="0.2">
      <c r="A65" t="s">
        <v>6</v>
      </c>
      <c r="B65">
        <v>56</v>
      </c>
      <c r="C65">
        <v>6316</v>
      </c>
      <c r="D65" t="str">
        <f t="shared" si="0"/>
        <v>Privately held company</v>
      </c>
    </row>
    <row r="66" spans="1:4" x14ac:dyDescent="0.2">
      <c r="A66" t="s">
        <v>6</v>
      </c>
      <c r="B66">
        <v>56</v>
      </c>
      <c r="C66">
        <v>5159</v>
      </c>
      <c r="D66" t="str">
        <f t="shared" si="0"/>
        <v>Privately held company</v>
      </c>
    </row>
    <row r="67" spans="1:4" x14ac:dyDescent="0.2">
      <c r="A67" t="s">
        <v>6</v>
      </c>
      <c r="B67">
        <v>56</v>
      </c>
      <c r="C67">
        <v>5158</v>
      </c>
      <c r="D67" t="str">
        <f>_xlfn.XLOOKUP(A67,$E$2:$E$53,$F$2:$F$53,,1,)</f>
        <v>Privately held company</v>
      </c>
    </row>
    <row r="68" spans="1:4" x14ac:dyDescent="0.2">
      <c r="A68" t="s">
        <v>6</v>
      </c>
      <c r="B68">
        <v>56</v>
      </c>
      <c r="C68">
        <v>4728</v>
      </c>
      <c r="D68" t="str">
        <f t="shared" si="0"/>
        <v>Privately held company</v>
      </c>
    </row>
    <row r="69" spans="1:4" x14ac:dyDescent="0.2">
      <c r="A69" t="s">
        <v>6</v>
      </c>
      <c r="B69">
        <v>56</v>
      </c>
      <c r="C69">
        <v>4725</v>
      </c>
      <c r="D69" t="str">
        <f t="shared" si="0"/>
        <v>Privately held company</v>
      </c>
    </row>
    <row r="70" spans="1:4" x14ac:dyDescent="0.2">
      <c r="A70" t="s">
        <v>6</v>
      </c>
      <c r="B70">
        <v>56</v>
      </c>
      <c r="C70">
        <v>4724</v>
      </c>
      <c r="D70" t="str">
        <f t="shared" si="0"/>
        <v>Privately held company</v>
      </c>
    </row>
    <row r="71" spans="1:4" x14ac:dyDescent="0.2">
      <c r="A71" t="s">
        <v>6</v>
      </c>
      <c r="B71">
        <v>56</v>
      </c>
      <c r="C71">
        <v>4726</v>
      </c>
      <c r="D71" t="str">
        <f t="shared" si="0"/>
        <v>Privately held company</v>
      </c>
    </row>
    <row r="72" spans="1:4" x14ac:dyDescent="0.2">
      <c r="A72" t="s">
        <v>6</v>
      </c>
      <c r="B72">
        <v>56</v>
      </c>
      <c r="C72">
        <v>4727</v>
      </c>
      <c r="D72" t="str">
        <f t="shared" si="0"/>
        <v>Privately held company</v>
      </c>
    </row>
    <row r="73" spans="1:4" x14ac:dyDescent="0.2">
      <c r="A73" t="s">
        <v>6</v>
      </c>
      <c r="B73">
        <v>56</v>
      </c>
      <c r="C73">
        <v>6277</v>
      </c>
      <c r="D73" t="str">
        <f t="shared" si="0"/>
        <v>Privately held company</v>
      </c>
    </row>
    <row r="74" spans="1:4" x14ac:dyDescent="0.2">
      <c r="A74" t="s">
        <v>6</v>
      </c>
      <c r="B74">
        <v>56</v>
      </c>
      <c r="C74">
        <v>4960</v>
      </c>
      <c r="D74" t="str">
        <f t="shared" si="0"/>
        <v>Privately held company</v>
      </c>
    </row>
    <row r="75" spans="1:4" x14ac:dyDescent="0.2">
      <c r="A75" t="s">
        <v>7</v>
      </c>
      <c r="B75">
        <v>56</v>
      </c>
      <c r="C75">
        <v>4534</v>
      </c>
      <c r="D75" t="str">
        <f>_xlfn.XLOOKUP(A75,$E$2:$E$53,$F$2:$F$53,,1,)</f>
        <v>Privately held company</v>
      </c>
    </row>
    <row r="76" spans="1:4" x14ac:dyDescent="0.2">
      <c r="A76" t="s">
        <v>7</v>
      </c>
      <c r="B76">
        <v>56</v>
      </c>
      <c r="C76">
        <v>7162</v>
      </c>
      <c r="D76" t="str">
        <f t="shared" ref="D76:D99" si="1">_xlfn.XLOOKUP(A76,$E$2:$E$53,$F$2:$F$53,,1,)</f>
        <v>Privately held company</v>
      </c>
    </row>
    <row r="77" spans="1:4" x14ac:dyDescent="0.2">
      <c r="A77" t="s">
        <v>7</v>
      </c>
      <c r="B77">
        <v>56</v>
      </c>
      <c r="C77">
        <v>5720</v>
      </c>
      <c r="D77" t="str">
        <f t="shared" si="1"/>
        <v>Privately held company</v>
      </c>
    </row>
    <row r="78" spans="1:4" x14ac:dyDescent="0.2">
      <c r="A78" t="s">
        <v>7</v>
      </c>
      <c r="B78">
        <v>56</v>
      </c>
      <c r="C78">
        <v>3634</v>
      </c>
      <c r="D78" t="str">
        <f t="shared" si="1"/>
        <v>Privately held company</v>
      </c>
    </row>
    <row r="79" spans="1:4" x14ac:dyDescent="0.2">
      <c r="A79" t="s">
        <v>7</v>
      </c>
      <c r="B79">
        <v>56</v>
      </c>
      <c r="C79">
        <v>6571</v>
      </c>
      <c r="D79" t="str">
        <f t="shared" si="1"/>
        <v>Privately held company</v>
      </c>
    </row>
    <row r="80" spans="1:4" x14ac:dyDescent="0.2">
      <c r="A80" t="s">
        <v>7</v>
      </c>
      <c r="B80">
        <v>56</v>
      </c>
      <c r="C80">
        <v>6005</v>
      </c>
      <c r="D80" t="str">
        <f t="shared" si="1"/>
        <v>Privately held company</v>
      </c>
    </row>
    <row r="81" spans="1:4" x14ac:dyDescent="0.2">
      <c r="A81" t="s">
        <v>7</v>
      </c>
      <c r="B81">
        <v>56</v>
      </c>
      <c r="C81">
        <v>5461</v>
      </c>
      <c r="D81" t="str">
        <f t="shared" si="1"/>
        <v>Privately held company</v>
      </c>
    </row>
    <row r="82" spans="1:4" x14ac:dyDescent="0.2">
      <c r="A82" t="s">
        <v>7</v>
      </c>
      <c r="B82">
        <v>56</v>
      </c>
      <c r="C82">
        <v>6696</v>
      </c>
      <c r="D82" t="str">
        <f t="shared" si="1"/>
        <v>Privately held company</v>
      </c>
    </row>
    <row r="83" spans="1:4" x14ac:dyDescent="0.2">
      <c r="A83" t="s">
        <v>7</v>
      </c>
      <c r="B83">
        <v>56</v>
      </c>
      <c r="C83">
        <v>6634</v>
      </c>
      <c r="D83" t="str">
        <f t="shared" si="1"/>
        <v>Privately held company</v>
      </c>
    </row>
    <row r="84" spans="1:4" x14ac:dyDescent="0.2">
      <c r="A84" t="s">
        <v>7</v>
      </c>
      <c r="B84">
        <v>56</v>
      </c>
      <c r="C84">
        <v>6191</v>
      </c>
      <c r="D84" t="str">
        <f t="shared" si="1"/>
        <v>Privately held company</v>
      </c>
    </row>
    <row r="85" spans="1:4" x14ac:dyDescent="0.2">
      <c r="A85" t="s">
        <v>7</v>
      </c>
      <c r="B85">
        <v>56</v>
      </c>
      <c r="C85">
        <v>5790</v>
      </c>
      <c r="D85" t="str">
        <f t="shared" si="1"/>
        <v>Privately held company</v>
      </c>
    </row>
    <row r="86" spans="1:4" x14ac:dyDescent="0.2">
      <c r="A86" t="s">
        <v>7</v>
      </c>
      <c r="B86">
        <v>56</v>
      </c>
      <c r="C86">
        <v>3506</v>
      </c>
      <c r="D86" t="str">
        <f t="shared" si="1"/>
        <v>Privately held company</v>
      </c>
    </row>
    <row r="87" spans="1:4" x14ac:dyDescent="0.2">
      <c r="A87" t="s">
        <v>7</v>
      </c>
      <c r="B87">
        <v>56</v>
      </c>
      <c r="C87">
        <v>4532</v>
      </c>
      <c r="D87" t="str">
        <f t="shared" si="1"/>
        <v>Privately held company</v>
      </c>
    </row>
    <row r="88" spans="1:4" x14ac:dyDescent="0.2">
      <c r="A88" t="s">
        <v>7</v>
      </c>
      <c r="B88">
        <v>56</v>
      </c>
      <c r="C88">
        <v>6706</v>
      </c>
      <c r="D88" t="str">
        <f t="shared" si="1"/>
        <v>Privately held company</v>
      </c>
    </row>
    <row r="89" spans="1:4" x14ac:dyDescent="0.2">
      <c r="A89" t="s">
        <v>7</v>
      </c>
      <c r="B89">
        <v>56</v>
      </c>
      <c r="C89">
        <v>4533</v>
      </c>
      <c r="D89" t="str">
        <f t="shared" si="1"/>
        <v>Privately held company</v>
      </c>
    </row>
    <row r="90" spans="1:4" x14ac:dyDescent="0.2">
      <c r="A90" t="s">
        <v>7</v>
      </c>
      <c r="B90">
        <v>56</v>
      </c>
      <c r="C90">
        <v>6590</v>
      </c>
      <c r="D90" t="str">
        <f t="shared" si="1"/>
        <v>Privately held company</v>
      </c>
    </row>
    <row r="91" spans="1:4" x14ac:dyDescent="0.2">
      <c r="A91" t="s">
        <v>7</v>
      </c>
      <c r="B91">
        <v>56</v>
      </c>
      <c r="C91">
        <v>5933</v>
      </c>
      <c r="D91" t="str">
        <f t="shared" si="1"/>
        <v>Privately held company</v>
      </c>
    </row>
    <row r="92" spans="1:4" x14ac:dyDescent="0.2">
      <c r="A92" t="s">
        <v>7</v>
      </c>
      <c r="B92">
        <v>56</v>
      </c>
      <c r="C92">
        <v>4396</v>
      </c>
      <c r="D92" t="str">
        <f t="shared" si="1"/>
        <v>Privately held company</v>
      </c>
    </row>
    <row r="93" spans="1:4" x14ac:dyDescent="0.2">
      <c r="A93" t="s">
        <v>7</v>
      </c>
      <c r="B93">
        <v>56</v>
      </c>
      <c r="C93">
        <v>6858</v>
      </c>
      <c r="D93" t="str">
        <f t="shared" si="1"/>
        <v>Privately held company</v>
      </c>
    </row>
    <row r="94" spans="1:4" x14ac:dyDescent="0.2">
      <c r="A94" t="s">
        <v>7</v>
      </c>
      <c r="B94">
        <v>56</v>
      </c>
      <c r="C94">
        <v>6090</v>
      </c>
      <c r="D94" t="str">
        <f t="shared" si="1"/>
        <v>Privately held company</v>
      </c>
    </row>
    <row r="95" spans="1:4" x14ac:dyDescent="0.2">
      <c r="A95" t="s">
        <v>7</v>
      </c>
      <c r="B95">
        <v>56</v>
      </c>
      <c r="C95">
        <v>6949</v>
      </c>
      <c r="D95" t="str">
        <f t="shared" si="1"/>
        <v>Privately held company</v>
      </c>
    </row>
    <row r="96" spans="1:4" x14ac:dyDescent="0.2">
      <c r="A96" t="s">
        <v>7</v>
      </c>
      <c r="B96">
        <v>56</v>
      </c>
      <c r="C96">
        <v>6948</v>
      </c>
      <c r="D96" t="str">
        <f t="shared" si="1"/>
        <v>Privately held company</v>
      </c>
    </row>
    <row r="97" spans="1:4" x14ac:dyDescent="0.2">
      <c r="A97" t="s">
        <v>7</v>
      </c>
      <c r="B97">
        <v>56</v>
      </c>
      <c r="C97">
        <v>5708</v>
      </c>
      <c r="D97" t="str">
        <f t="shared" si="1"/>
        <v>Privately held company</v>
      </c>
    </row>
    <row r="98" spans="1:4" x14ac:dyDescent="0.2">
      <c r="A98" t="s">
        <v>7</v>
      </c>
      <c r="B98">
        <v>56</v>
      </c>
      <c r="C98">
        <v>4323</v>
      </c>
      <c r="D98" t="str">
        <f t="shared" si="1"/>
        <v>Privately held company</v>
      </c>
    </row>
    <row r="99" spans="1:4" x14ac:dyDescent="0.2">
      <c r="A99" t="s">
        <v>8</v>
      </c>
      <c r="B99">
        <v>41</v>
      </c>
      <c r="C99">
        <v>6951</v>
      </c>
      <c r="D99" t="str">
        <f t="shared" si="1"/>
        <v>Private equity–owned</v>
      </c>
    </row>
    <row r="100" spans="1:4" x14ac:dyDescent="0.2">
      <c r="A100" t="s">
        <v>8</v>
      </c>
      <c r="B100">
        <v>41</v>
      </c>
      <c r="C100">
        <v>3517</v>
      </c>
      <c r="D100" t="str">
        <f>_xlfn.XLOOKUP(A100,$E$2:$E$53,$F$2:$F$53,,1,)</f>
        <v>Private equity–owned</v>
      </c>
    </row>
    <row r="101" spans="1:4" x14ac:dyDescent="0.2">
      <c r="A101" t="s">
        <v>8</v>
      </c>
      <c r="B101">
        <v>41</v>
      </c>
      <c r="C101">
        <v>6815</v>
      </c>
      <c r="D101" t="str">
        <f t="shared" ref="D101:D163" si="2">_xlfn.XLOOKUP(A101,$E$2:$E$53,$F$2:$F$53,,1,)</f>
        <v>Private equity–owned</v>
      </c>
    </row>
    <row r="102" spans="1:4" x14ac:dyDescent="0.2">
      <c r="A102" t="s">
        <v>8</v>
      </c>
      <c r="B102">
        <v>41</v>
      </c>
      <c r="C102">
        <v>6847</v>
      </c>
      <c r="D102" t="str">
        <f t="shared" si="2"/>
        <v>Private equity–owned</v>
      </c>
    </row>
    <row r="103" spans="1:4" x14ac:dyDescent="0.2">
      <c r="A103" t="s">
        <v>8</v>
      </c>
      <c r="B103">
        <v>41</v>
      </c>
      <c r="C103">
        <v>5501</v>
      </c>
      <c r="D103" t="str">
        <f t="shared" si="2"/>
        <v>Private equity–owned</v>
      </c>
    </row>
    <row r="104" spans="1:4" x14ac:dyDescent="0.2">
      <c r="A104" t="s">
        <v>8</v>
      </c>
      <c r="B104">
        <v>41</v>
      </c>
      <c r="C104">
        <v>6986</v>
      </c>
      <c r="D104" t="str">
        <f t="shared" si="2"/>
        <v>Private equity–owned</v>
      </c>
    </row>
    <row r="105" spans="1:4" x14ac:dyDescent="0.2">
      <c r="A105" t="s">
        <v>8</v>
      </c>
      <c r="B105">
        <v>41</v>
      </c>
      <c r="C105">
        <v>6127</v>
      </c>
      <c r="D105" t="str">
        <f t="shared" si="2"/>
        <v>Private equity–owned</v>
      </c>
    </row>
    <row r="106" spans="1:4" x14ac:dyDescent="0.2">
      <c r="A106" t="s">
        <v>8</v>
      </c>
      <c r="B106">
        <v>41</v>
      </c>
      <c r="C106">
        <v>5853</v>
      </c>
      <c r="D106" t="str">
        <f t="shared" si="2"/>
        <v>Private equity–owned</v>
      </c>
    </row>
    <row r="107" spans="1:4" x14ac:dyDescent="0.2">
      <c r="A107" t="s">
        <v>8</v>
      </c>
      <c r="B107">
        <v>41</v>
      </c>
      <c r="C107">
        <v>6187</v>
      </c>
      <c r="D107" t="str">
        <f t="shared" si="2"/>
        <v>Private equity–owned</v>
      </c>
    </row>
    <row r="108" spans="1:4" x14ac:dyDescent="0.2">
      <c r="A108" t="s">
        <v>8</v>
      </c>
      <c r="B108">
        <v>41</v>
      </c>
      <c r="C108">
        <v>5930</v>
      </c>
      <c r="D108" t="str">
        <f t="shared" si="2"/>
        <v>Private equity–owned</v>
      </c>
    </row>
    <row r="109" spans="1:4" x14ac:dyDescent="0.2">
      <c r="A109" t="s">
        <v>8</v>
      </c>
      <c r="B109">
        <v>41</v>
      </c>
      <c r="C109">
        <v>6707</v>
      </c>
      <c r="D109" t="str">
        <f t="shared" si="2"/>
        <v>Private equity–owned</v>
      </c>
    </row>
    <row r="110" spans="1:4" x14ac:dyDescent="0.2">
      <c r="A110" t="s">
        <v>8</v>
      </c>
      <c r="B110">
        <v>41</v>
      </c>
      <c r="C110">
        <v>6485</v>
      </c>
      <c r="D110" t="str">
        <f t="shared" si="2"/>
        <v>Private equity–owned</v>
      </c>
    </row>
    <row r="111" spans="1:4" x14ac:dyDescent="0.2">
      <c r="A111" t="s">
        <v>8</v>
      </c>
      <c r="B111">
        <v>41</v>
      </c>
      <c r="C111">
        <v>6791</v>
      </c>
      <c r="D111" t="str">
        <f t="shared" si="2"/>
        <v>Private equity–owned</v>
      </c>
    </row>
    <row r="112" spans="1:4" x14ac:dyDescent="0.2">
      <c r="A112" t="s">
        <v>8</v>
      </c>
      <c r="B112">
        <v>41</v>
      </c>
      <c r="C112">
        <v>5744</v>
      </c>
      <c r="D112" t="str">
        <f t="shared" si="2"/>
        <v>Private equity–owned</v>
      </c>
    </row>
    <row r="113" spans="1:4" x14ac:dyDescent="0.2">
      <c r="A113" t="s">
        <v>8</v>
      </c>
      <c r="B113">
        <v>41</v>
      </c>
      <c r="C113">
        <v>6459</v>
      </c>
      <c r="D113" t="str">
        <f t="shared" si="2"/>
        <v>Private equity–owned</v>
      </c>
    </row>
    <row r="114" spans="1:4" x14ac:dyDescent="0.2">
      <c r="A114" t="s">
        <v>8</v>
      </c>
      <c r="B114">
        <v>41</v>
      </c>
      <c r="C114">
        <v>6243</v>
      </c>
      <c r="D114" t="str">
        <f t="shared" si="2"/>
        <v>Private equity–owned</v>
      </c>
    </row>
    <row r="115" spans="1:4" x14ac:dyDescent="0.2">
      <c r="A115" t="s">
        <v>8</v>
      </c>
      <c r="B115">
        <v>41</v>
      </c>
      <c r="C115">
        <v>6460</v>
      </c>
      <c r="D115" t="str">
        <f t="shared" si="2"/>
        <v>Private equity–owned</v>
      </c>
    </row>
    <row r="116" spans="1:4" x14ac:dyDescent="0.2">
      <c r="A116" t="s">
        <v>8</v>
      </c>
      <c r="B116">
        <v>41</v>
      </c>
      <c r="C116">
        <v>6682</v>
      </c>
      <c r="D116" t="str">
        <f t="shared" si="2"/>
        <v>Private equity–owned</v>
      </c>
    </row>
    <row r="117" spans="1:4" x14ac:dyDescent="0.2">
      <c r="A117" t="s">
        <v>8</v>
      </c>
      <c r="B117">
        <v>41</v>
      </c>
      <c r="C117">
        <v>6434</v>
      </c>
      <c r="D117" t="str">
        <f t="shared" si="2"/>
        <v>Private equity–owned</v>
      </c>
    </row>
    <row r="118" spans="1:4" x14ac:dyDescent="0.2">
      <c r="A118" t="s">
        <v>8</v>
      </c>
      <c r="B118">
        <v>41</v>
      </c>
      <c r="C118">
        <v>6244</v>
      </c>
      <c r="D118" t="str">
        <f t="shared" si="2"/>
        <v>Private equity–owned</v>
      </c>
    </row>
    <row r="119" spans="1:4" x14ac:dyDescent="0.2">
      <c r="A119" t="s">
        <v>8</v>
      </c>
      <c r="B119">
        <v>41</v>
      </c>
      <c r="C119">
        <v>2048</v>
      </c>
      <c r="D119" t="str">
        <f t="shared" si="2"/>
        <v>Private equity–owned</v>
      </c>
    </row>
    <row r="120" spans="1:4" x14ac:dyDescent="0.2">
      <c r="A120" t="s">
        <v>8</v>
      </c>
      <c r="B120">
        <v>41</v>
      </c>
      <c r="C120">
        <v>6099</v>
      </c>
      <c r="D120" t="str">
        <f t="shared" si="2"/>
        <v>Private equity–owned</v>
      </c>
    </row>
    <row r="121" spans="1:4" x14ac:dyDescent="0.2">
      <c r="A121" t="s">
        <v>8</v>
      </c>
      <c r="B121">
        <v>41</v>
      </c>
      <c r="C121">
        <v>6450</v>
      </c>
      <c r="D121" t="str">
        <f t="shared" si="2"/>
        <v>Private equity–owned</v>
      </c>
    </row>
    <row r="122" spans="1:4" x14ac:dyDescent="0.2">
      <c r="A122" t="s">
        <v>8</v>
      </c>
      <c r="B122">
        <v>41</v>
      </c>
      <c r="C122">
        <v>7002</v>
      </c>
      <c r="D122" t="str">
        <f t="shared" si="2"/>
        <v>Private equity–owned</v>
      </c>
    </row>
    <row r="123" spans="1:4" x14ac:dyDescent="0.2">
      <c r="A123" t="s">
        <v>9</v>
      </c>
      <c r="B123">
        <v>40</v>
      </c>
      <c r="C123">
        <v>3485</v>
      </c>
      <c r="D123" t="str">
        <f t="shared" si="2"/>
        <v>Privately held company</v>
      </c>
    </row>
    <row r="124" spans="1:4" x14ac:dyDescent="0.2">
      <c r="A124" t="s">
        <v>9</v>
      </c>
      <c r="B124">
        <v>40</v>
      </c>
      <c r="C124">
        <v>4412</v>
      </c>
      <c r="D124" t="str">
        <f t="shared" si="2"/>
        <v>Privately held company</v>
      </c>
    </row>
    <row r="125" spans="1:4" x14ac:dyDescent="0.2">
      <c r="A125" t="s">
        <v>9</v>
      </c>
      <c r="B125">
        <v>40</v>
      </c>
      <c r="C125">
        <v>3527</v>
      </c>
      <c r="D125" t="str">
        <f t="shared" si="2"/>
        <v>Privately held company</v>
      </c>
    </row>
    <row r="126" spans="1:4" x14ac:dyDescent="0.2">
      <c r="A126" t="s">
        <v>9</v>
      </c>
      <c r="B126">
        <v>40</v>
      </c>
      <c r="C126">
        <v>1070</v>
      </c>
      <c r="D126" t="str">
        <f t="shared" si="2"/>
        <v>Privately held company</v>
      </c>
    </row>
    <row r="127" spans="1:4" x14ac:dyDescent="0.2">
      <c r="A127" t="s">
        <v>9</v>
      </c>
      <c r="B127">
        <v>40</v>
      </c>
      <c r="C127">
        <v>3399</v>
      </c>
      <c r="D127" t="str">
        <f t="shared" si="2"/>
        <v>Privately held company</v>
      </c>
    </row>
    <row r="128" spans="1:4" x14ac:dyDescent="0.2">
      <c r="A128" t="s">
        <v>9</v>
      </c>
      <c r="B128">
        <v>40</v>
      </c>
      <c r="C128">
        <v>2856</v>
      </c>
      <c r="D128" t="str">
        <f t="shared" si="2"/>
        <v>Privately held company</v>
      </c>
    </row>
    <row r="129" spans="1:4" x14ac:dyDescent="0.2">
      <c r="A129" t="s">
        <v>9</v>
      </c>
      <c r="B129">
        <v>40</v>
      </c>
      <c r="C129">
        <v>4413</v>
      </c>
      <c r="D129" t="str">
        <f t="shared" si="2"/>
        <v>Privately held company</v>
      </c>
    </row>
    <row r="130" spans="1:4" x14ac:dyDescent="0.2">
      <c r="A130" t="s">
        <v>9</v>
      </c>
      <c r="B130">
        <v>40</v>
      </c>
      <c r="C130">
        <v>2851</v>
      </c>
      <c r="D130" t="str">
        <f t="shared" si="2"/>
        <v>Privately held company</v>
      </c>
    </row>
    <row r="131" spans="1:4" x14ac:dyDescent="0.2">
      <c r="A131" t="s">
        <v>9</v>
      </c>
      <c r="B131">
        <v>40</v>
      </c>
      <c r="C131">
        <v>2861</v>
      </c>
      <c r="D131" t="str">
        <f t="shared" si="2"/>
        <v>Privately held company</v>
      </c>
    </row>
    <row r="132" spans="1:4" x14ac:dyDescent="0.2">
      <c r="A132" t="s">
        <v>9</v>
      </c>
      <c r="B132">
        <v>40</v>
      </c>
      <c r="C132">
        <v>4414</v>
      </c>
      <c r="D132" t="str">
        <f t="shared" si="2"/>
        <v>Privately held company</v>
      </c>
    </row>
    <row r="133" spans="1:4" x14ac:dyDescent="0.2">
      <c r="A133" t="s">
        <v>9</v>
      </c>
      <c r="B133">
        <v>40</v>
      </c>
      <c r="C133">
        <v>4415</v>
      </c>
      <c r="D133" t="str">
        <f t="shared" si="2"/>
        <v>Privately held company</v>
      </c>
    </row>
    <row r="134" spans="1:4" x14ac:dyDescent="0.2">
      <c r="A134" t="s">
        <v>9</v>
      </c>
      <c r="B134">
        <v>40</v>
      </c>
      <c r="C134">
        <v>4416</v>
      </c>
      <c r="D134" t="str">
        <f t="shared" si="2"/>
        <v>Privately held company</v>
      </c>
    </row>
    <row r="135" spans="1:4" x14ac:dyDescent="0.2">
      <c r="A135" t="s">
        <v>9</v>
      </c>
      <c r="B135">
        <v>40</v>
      </c>
      <c r="C135">
        <v>3520</v>
      </c>
      <c r="D135" t="str">
        <f t="shared" si="2"/>
        <v>Privately held company</v>
      </c>
    </row>
    <row r="136" spans="1:4" x14ac:dyDescent="0.2">
      <c r="A136" t="s">
        <v>9</v>
      </c>
      <c r="B136">
        <v>40</v>
      </c>
      <c r="C136">
        <v>4530</v>
      </c>
      <c r="D136" t="str">
        <f t="shared" si="2"/>
        <v>Privately held company</v>
      </c>
    </row>
    <row r="137" spans="1:4" x14ac:dyDescent="0.2">
      <c r="A137" t="s">
        <v>9</v>
      </c>
      <c r="B137">
        <v>40</v>
      </c>
      <c r="C137">
        <v>4508</v>
      </c>
      <c r="D137" t="str">
        <f t="shared" si="2"/>
        <v>Privately held company</v>
      </c>
    </row>
    <row r="138" spans="1:4" x14ac:dyDescent="0.2">
      <c r="A138" t="s">
        <v>9</v>
      </c>
      <c r="B138">
        <v>40</v>
      </c>
      <c r="C138">
        <v>2863</v>
      </c>
      <c r="D138" t="str">
        <f t="shared" si="2"/>
        <v>Privately held company</v>
      </c>
    </row>
    <row r="139" spans="1:4" x14ac:dyDescent="0.2">
      <c r="A139" t="s">
        <v>9</v>
      </c>
      <c r="B139">
        <v>40</v>
      </c>
      <c r="C139">
        <v>2864</v>
      </c>
      <c r="D139" t="str">
        <f t="shared" si="2"/>
        <v>Privately held company</v>
      </c>
    </row>
    <row r="140" spans="1:4" x14ac:dyDescent="0.2">
      <c r="A140" t="s">
        <v>9</v>
      </c>
      <c r="B140">
        <v>40</v>
      </c>
      <c r="C140">
        <v>5913</v>
      </c>
      <c r="D140" t="str">
        <f t="shared" si="2"/>
        <v>Privately held company</v>
      </c>
    </row>
    <row r="141" spans="1:4" x14ac:dyDescent="0.2">
      <c r="A141" t="s">
        <v>9</v>
      </c>
      <c r="B141">
        <v>40</v>
      </c>
      <c r="C141">
        <v>4417</v>
      </c>
      <c r="D141" t="str">
        <f t="shared" si="2"/>
        <v>Privately held company</v>
      </c>
    </row>
    <row r="142" spans="1:4" x14ac:dyDescent="0.2">
      <c r="A142" t="s">
        <v>9</v>
      </c>
      <c r="B142">
        <v>40</v>
      </c>
      <c r="C142">
        <v>6315</v>
      </c>
      <c r="D142" t="str">
        <f t="shared" si="2"/>
        <v>Privately held company</v>
      </c>
    </row>
    <row r="143" spans="1:4" x14ac:dyDescent="0.2">
      <c r="A143" t="s">
        <v>10</v>
      </c>
      <c r="B143">
        <v>40</v>
      </c>
      <c r="C143">
        <v>1077</v>
      </c>
      <c r="D143" t="str">
        <f t="shared" si="2"/>
        <v>Publicly listed company</v>
      </c>
    </row>
    <row r="144" spans="1:4" x14ac:dyDescent="0.2">
      <c r="A144" t="s">
        <v>10</v>
      </c>
      <c r="B144">
        <v>40</v>
      </c>
      <c r="C144">
        <v>1078</v>
      </c>
      <c r="D144" t="str">
        <f t="shared" si="2"/>
        <v>Publicly listed company</v>
      </c>
    </row>
    <row r="145" spans="1:4" x14ac:dyDescent="0.2">
      <c r="A145" t="s">
        <v>10</v>
      </c>
      <c r="B145">
        <v>40</v>
      </c>
      <c r="C145">
        <v>712</v>
      </c>
      <c r="D145" t="str">
        <f t="shared" si="2"/>
        <v>Publicly listed company</v>
      </c>
    </row>
    <row r="146" spans="1:4" x14ac:dyDescent="0.2">
      <c r="A146" t="s">
        <v>10</v>
      </c>
      <c r="B146">
        <v>40</v>
      </c>
      <c r="C146">
        <v>3206</v>
      </c>
      <c r="D146" t="str">
        <f t="shared" si="2"/>
        <v>Publicly listed company</v>
      </c>
    </row>
    <row r="147" spans="1:4" x14ac:dyDescent="0.2">
      <c r="A147" t="s">
        <v>10</v>
      </c>
      <c r="B147">
        <v>40</v>
      </c>
      <c r="C147">
        <v>1237</v>
      </c>
      <c r="D147" t="str">
        <f t="shared" si="2"/>
        <v>Publicly listed company</v>
      </c>
    </row>
    <row r="148" spans="1:4" x14ac:dyDescent="0.2">
      <c r="A148" t="s">
        <v>10</v>
      </c>
      <c r="B148">
        <v>40</v>
      </c>
      <c r="C148">
        <v>1074</v>
      </c>
      <c r="D148" t="str">
        <f t="shared" si="2"/>
        <v>Publicly listed company</v>
      </c>
    </row>
    <row r="149" spans="1:4" x14ac:dyDescent="0.2">
      <c r="A149" t="s">
        <v>10</v>
      </c>
      <c r="B149">
        <v>40</v>
      </c>
      <c r="C149">
        <v>5293</v>
      </c>
      <c r="D149" t="str">
        <f t="shared" si="2"/>
        <v>Publicly listed company</v>
      </c>
    </row>
    <row r="150" spans="1:4" x14ac:dyDescent="0.2">
      <c r="A150" t="s">
        <v>10</v>
      </c>
      <c r="B150">
        <v>40</v>
      </c>
      <c r="C150">
        <v>5301</v>
      </c>
      <c r="D150" t="str">
        <f t="shared" si="2"/>
        <v>Publicly listed company</v>
      </c>
    </row>
    <row r="151" spans="1:4" x14ac:dyDescent="0.2">
      <c r="A151" t="s">
        <v>10</v>
      </c>
      <c r="B151">
        <v>40</v>
      </c>
      <c r="C151">
        <v>5302</v>
      </c>
      <c r="D151" t="str">
        <f t="shared" si="2"/>
        <v>Publicly listed company</v>
      </c>
    </row>
    <row r="152" spans="1:4" x14ac:dyDescent="0.2">
      <c r="A152" t="s">
        <v>10</v>
      </c>
      <c r="B152">
        <v>40</v>
      </c>
      <c r="C152">
        <v>5300</v>
      </c>
      <c r="D152" t="str">
        <f t="shared" si="2"/>
        <v>Publicly listed company</v>
      </c>
    </row>
    <row r="153" spans="1:4" x14ac:dyDescent="0.2">
      <c r="A153" t="s">
        <v>10</v>
      </c>
      <c r="B153">
        <v>40</v>
      </c>
      <c r="C153">
        <v>5303</v>
      </c>
      <c r="D153" t="str">
        <f t="shared" si="2"/>
        <v>Publicly listed company</v>
      </c>
    </row>
    <row r="154" spans="1:4" x14ac:dyDescent="0.2">
      <c r="A154" t="s">
        <v>10</v>
      </c>
      <c r="B154">
        <v>40</v>
      </c>
      <c r="C154">
        <v>5304</v>
      </c>
      <c r="D154" t="str">
        <f t="shared" si="2"/>
        <v>Publicly listed company</v>
      </c>
    </row>
    <row r="155" spans="1:4" x14ac:dyDescent="0.2">
      <c r="A155" t="s">
        <v>10</v>
      </c>
      <c r="B155">
        <v>40</v>
      </c>
      <c r="C155">
        <v>4802</v>
      </c>
      <c r="D155" t="str">
        <f t="shared" si="2"/>
        <v>Publicly listed company</v>
      </c>
    </row>
    <row r="156" spans="1:4" x14ac:dyDescent="0.2">
      <c r="A156" t="s">
        <v>10</v>
      </c>
      <c r="B156">
        <v>40</v>
      </c>
      <c r="C156">
        <v>4504</v>
      </c>
      <c r="D156" t="str">
        <f t="shared" si="2"/>
        <v>Publicly listed company</v>
      </c>
    </row>
    <row r="157" spans="1:4" x14ac:dyDescent="0.2">
      <c r="A157" t="s">
        <v>10</v>
      </c>
      <c r="B157">
        <v>40</v>
      </c>
      <c r="C157">
        <v>5508</v>
      </c>
      <c r="D157" t="str">
        <f t="shared" si="2"/>
        <v>Publicly listed company</v>
      </c>
    </row>
    <row r="158" spans="1:4" x14ac:dyDescent="0.2">
      <c r="A158" t="s">
        <v>10</v>
      </c>
      <c r="B158">
        <v>40</v>
      </c>
      <c r="C158">
        <v>5340</v>
      </c>
      <c r="D158" t="str">
        <f t="shared" si="2"/>
        <v>Publicly listed company</v>
      </c>
    </row>
    <row r="159" spans="1:4" x14ac:dyDescent="0.2">
      <c r="A159" t="s">
        <v>10</v>
      </c>
      <c r="B159">
        <v>40</v>
      </c>
      <c r="C159">
        <v>6100</v>
      </c>
      <c r="D159" t="str">
        <f t="shared" si="2"/>
        <v>Publicly listed company</v>
      </c>
    </row>
    <row r="160" spans="1:4" x14ac:dyDescent="0.2">
      <c r="A160" t="s">
        <v>10</v>
      </c>
      <c r="B160">
        <v>40</v>
      </c>
      <c r="C160">
        <v>263</v>
      </c>
      <c r="D160" t="str">
        <f t="shared" si="2"/>
        <v>Publicly listed company</v>
      </c>
    </row>
    <row r="161" spans="1:4" x14ac:dyDescent="0.2">
      <c r="A161" t="s">
        <v>10</v>
      </c>
      <c r="B161">
        <v>40</v>
      </c>
      <c r="C161">
        <v>2435</v>
      </c>
      <c r="D161" t="str">
        <f t="shared" si="2"/>
        <v>Publicly listed company</v>
      </c>
    </row>
    <row r="162" spans="1:4" x14ac:dyDescent="0.2">
      <c r="A162" t="s">
        <v>10</v>
      </c>
      <c r="B162">
        <v>40</v>
      </c>
      <c r="C162">
        <v>6667</v>
      </c>
      <c r="D162" t="str">
        <f t="shared" si="2"/>
        <v>Publicly listed company</v>
      </c>
    </row>
    <row r="163" spans="1:4" x14ac:dyDescent="0.2">
      <c r="A163" t="s">
        <v>10</v>
      </c>
      <c r="B163">
        <v>40</v>
      </c>
      <c r="C163">
        <v>1866</v>
      </c>
      <c r="D163" t="str">
        <f t="shared" si="2"/>
        <v>Publicly listed company</v>
      </c>
    </row>
    <row r="164" spans="1:4" x14ac:dyDescent="0.2">
      <c r="A164" t="s">
        <v>10</v>
      </c>
      <c r="B164">
        <v>40</v>
      </c>
      <c r="C164">
        <v>6668</v>
      </c>
      <c r="D164" t="str">
        <f t="shared" ref="D164:D227" si="3">_xlfn.XLOOKUP(A164,$E$2:$E$53,$F$2:$F$53,,1,)</f>
        <v>Publicly listed company</v>
      </c>
    </row>
    <row r="165" spans="1:4" x14ac:dyDescent="0.2">
      <c r="A165" t="s">
        <v>10</v>
      </c>
      <c r="B165">
        <v>40</v>
      </c>
      <c r="C165">
        <v>1995</v>
      </c>
      <c r="D165" t="str">
        <f t="shared" si="3"/>
        <v>Publicly listed company</v>
      </c>
    </row>
    <row r="166" spans="1:4" x14ac:dyDescent="0.2">
      <c r="A166" t="s">
        <v>11</v>
      </c>
      <c r="B166">
        <v>39</v>
      </c>
      <c r="C166">
        <v>6984</v>
      </c>
      <c r="D166" s="1" t="s">
        <v>80</v>
      </c>
    </row>
    <row r="167" spans="1:4" x14ac:dyDescent="0.2">
      <c r="A167" t="s">
        <v>11</v>
      </c>
      <c r="B167">
        <v>39</v>
      </c>
      <c r="C167">
        <v>6978</v>
      </c>
      <c r="D167" s="1" t="s">
        <v>80</v>
      </c>
    </row>
    <row r="168" spans="1:4" x14ac:dyDescent="0.2">
      <c r="A168" t="s">
        <v>11</v>
      </c>
      <c r="B168">
        <v>39</v>
      </c>
      <c r="C168">
        <v>2748</v>
      </c>
      <c r="D168" s="1" t="s">
        <v>80</v>
      </c>
    </row>
    <row r="169" spans="1:4" x14ac:dyDescent="0.2">
      <c r="A169" t="s">
        <v>11</v>
      </c>
      <c r="B169">
        <v>39</v>
      </c>
      <c r="C169">
        <v>2951</v>
      </c>
      <c r="D169" s="1" t="s">
        <v>80</v>
      </c>
    </row>
    <row r="170" spans="1:4" x14ac:dyDescent="0.2">
      <c r="A170" t="s">
        <v>11</v>
      </c>
      <c r="B170">
        <v>39</v>
      </c>
      <c r="C170">
        <v>2771</v>
      </c>
      <c r="D170" s="1" t="s">
        <v>80</v>
      </c>
    </row>
    <row r="171" spans="1:4" x14ac:dyDescent="0.2">
      <c r="A171" t="s">
        <v>11</v>
      </c>
      <c r="B171">
        <v>39</v>
      </c>
      <c r="C171">
        <v>3453</v>
      </c>
      <c r="D171" s="1" t="s">
        <v>80</v>
      </c>
    </row>
    <row r="172" spans="1:4" x14ac:dyDescent="0.2">
      <c r="A172" t="s">
        <v>11</v>
      </c>
      <c r="B172">
        <v>39</v>
      </c>
      <c r="C172">
        <v>2759</v>
      </c>
      <c r="D172" s="1" t="s">
        <v>80</v>
      </c>
    </row>
    <row r="173" spans="1:4" x14ac:dyDescent="0.2">
      <c r="A173" t="s">
        <v>11</v>
      </c>
      <c r="B173">
        <v>39</v>
      </c>
      <c r="C173">
        <v>1586</v>
      </c>
      <c r="D173" s="1" t="s">
        <v>80</v>
      </c>
    </row>
    <row r="174" spans="1:4" x14ac:dyDescent="0.2">
      <c r="A174" t="s">
        <v>11</v>
      </c>
      <c r="B174">
        <v>39</v>
      </c>
      <c r="C174">
        <v>7315</v>
      </c>
      <c r="D174" s="1" t="s">
        <v>80</v>
      </c>
    </row>
    <row r="175" spans="1:4" x14ac:dyDescent="0.2">
      <c r="A175" t="s">
        <v>12</v>
      </c>
      <c r="B175">
        <v>38</v>
      </c>
      <c r="C175">
        <v>3621</v>
      </c>
      <c r="D175" t="str">
        <f t="shared" si="3"/>
        <v>Government / authority</v>
      </c>
    </row>
    <row r="176" spans="1:4" x14ac:dyDescent="0.2">
      <c r="A176" t="s">
        <v>12</v>
      </c>
      <c r="B176">
        <v>38</v>
      </c>
      <c r="C176">
        <v>3612</v>
      </c>
      <c r="D176" t="str">
        <f t="shared" si="3"/>
        <v>Government / authority</v>
      </c>
    </row>
    <row r="177" spans="1:4" x14ac:dyDescent="0.2">
      <c r="A177" t="s">
        <v>12</v>
      </c>
      <c r="B177">
        <v>38</v>
      </c>
      <c r="C177">
        <v>4692</v>
      </c>
      <c r="D177" t="str">
        <f t="shared" si="3"/>
        <v>Government / authority</v>
      </c>
    </row>
    <row r="178" spans="1:4" x14ac:dyDescent="0.2">
      <c r="A178" t="s">
        <v>12</v>
      </c>
      <c r="B178">
        <v>38</v>
      </c>
      <c r="C178">
        <v>3151</v>
      </c>
      <c r="D178" t="str">
        <f t="shared" si="3"/>
        <v>Government / authority</v>
      </c>
    </row>
    <row r="179" spans="1:4" x14ac:dyDescent="0.2">
      <c r="A179" t="s">
        <v>12</v>
      </c>
      <c r="B179">
        <v>38</v>
      </c>
      <c r="C179">
        <v>3622</v>
      </c>
      <c r="D179" t="str">
        <f t="shared" si="3"/>
        <v>Government / authority</v>
      </c>
    </row>
    <row r="180" spans="1:4" x14ac:dyDescent="0.2">
      <c r="A180" t="s">
        <v>12</v>
      </c>
      <c r="B180">
        <v>38</v>
      </c>
      <c r="C180">
        <v>3603</v>
      </c>
      <c r="D180" t="str">
        <f t="shared" si="3"/>
        <v>Government / authority</v>
      </c>
    </row>
    <row r="181" spans="1:4" x14ac:dyDescent="0.2">
      <c r="A181" t="s">
        <v>12</v>
      </c>
      <c r="B181">
        <v>38</v>
      </c>
      <c r="C181">
        <v>4865</v>
      </c>
      <c r="D181" t="str">
        <f t="shared" si="3"/>
        <v>Government / authority</v>
      </c>
    </row>
    <row r="182" spans="1:4" x14ac:dyDescent="0.2">
      <c r="A182" t="s">
        <v>12</v>
      </c>
      <c r="B182">
        <v>38</v>
      </c>
      <c r="C182">
        <v>3617</v>
      </c>
      <c r="D182" t="str">
        <f t="shared" si="3"/>
        <v>Government / authority</v>
      </c>
    </row>
    <row r="183" spans="1:4" x14ac:dyDescent="0.2">
      <c r="A183" t="s">
        <v>12</v>
      </c>
      <c r="B183">
        <v>38</v>
      </c>
      <c r="C183">
        <v>3614</v>
      </c>
      <c r="D183" t="str">
        <f t="shared" si="3"/>
        <v>Government / authority</v>
      </c>
    </row>
    <row r="184" spans="1:4" x14ac:dyDescent="0.2">
      <c r="A184" t="s">
        <v>12</v>
      </c>
      <c r="B184">
        <v>38</v>
      </c>
      <c r="C184">
        <v>3613</v>
      </c>
      <c r="D184" t="str">
        <f t="shared" si="3"/>
        <v>Government / authority</v>
      </c>
    </row>
    <row r="185" spans="1:4" x14ac:dyDescent="0.2">
      <c r="A185" t="s">
        <v>12</v>
      </c>
      <c r="B185">
        <v>38</v>
      </c>
      <c r="C185">
        <v>4915</v>
      </c>
      <c r="D185" t="str">
        <f t="shared" si="3"/>
        <v>Government / authority</v>
      </c>
    </row>
    <row r="186" spans="1:4" x14ac:dyDescent="0.2">
      <c r="A186" t="s">
        <v>12</v>
      </c>
      <c r="B186">
        <v>38</v>
      </c>
      <c r="C186">
        <v>3591</v>
      </c>
      <c r="D186" t="str">
        <f t="shared" si="3"/>
        <v>Government / authority</v>
      </c>
    </row>
    <row r="187" spans="1:4" x14ac:dyDescent="0.2">
      <c r="A187" t="s">
        <v>12</v>
      </c>
      <c r="B187">
        <v>38</v>
      </c>
      <c r="C187">
        <v>3611</v>
      </c>
      <c r="D187" t="str">
        <f t="shared" si="3"/>
        <v>Government / authority</v>
      </c>
    </row>
    <row r="188" spans="1:4" x14ac:dyDescent="0.2">
      <c r="A188" t="s">
        <v>12</v>
      </c>
      <c r="B188">
        <v>38</v>
      </c>
      <c r="C188">
        <v>5320</v>
      </c>
      <c r="D188" t="str">
        <f t="shared" si="3"/>
        <v>Government / authority</v>
      </c>
    </row>
    <row r="189" spans="1:4" x14ac:dyDescent="0.2">
      <c r="A189" t="s">
        <v>12</v>
      </c>
      <c r="B189">
        <v>38</v>
      </c>
      <c r="C189">
        <v>3615</v>
      </c>
      <c r="D189" t="str">
        <f t="shared" si="3"/>
        <v>Government / authority</v>
      </c>
    </row>
    <row r="190" spans="1:4" x14ac:dyDescent="0.2">
      <c r="A190" t="s">
        <v>12</v>
      </c>
      <c r="B190">
        <v>38</v>
      </c>
      <c r="C190">
        <v>3623</v>
      </c>
      <c r="D190" t="str">
        <f t="shared" si="3"/>
        <v>Government / authority</v>
      </c>
    </row>
    <row r="191" spans="1:4" x14ac:dyDescent="0.2">
      <c r="A191" t="s">
        <v>12</v>
      </c>
      <c r="B191">
        <v>38</v>
      </c>
      <c r="C191">
        <v>3609</v>
      </c>
      <c r="D191" t="str">
        <f t="shared" si="3"/>
        <v>Government / authority</v>
      </c>
    </row>
    <row r="192" spans="1:4" x14ac:dyDescent="0.2">
      <c r="A192" t="s">
        <v>12</v>
      </c>
      <c r="B192">
        <v>38</v>
      </c>
      <c r="C192">
        <v>3610</v>
      </c>
      <c r="D192" t="str">
        <f t="shared" si="3"/>
        <v>Government / authority</v>
      </c>
    </row>
    <row r="193" spans="1:4" x14ac:dyDescent="0.2">
      <c r="A193" t="s">
        <v>12</v>
      </c>
      <c r="B193">
        <v>38</v>
      </c>
      <c r="C193">
        <v>3601</v>
      </c>
      <c r="D193" t="str">
        <f t="shared" si="3"/>
        <v>Government / authority</v>
      </c>
    </row>
    <row r="194" spans="1:4" x14ac:dyDescent="0.2">
      <c r="A194" t="s">
        <v>12</v>
      </c>
      <c r="B194">
        <v>38</v>
      </c>
      <c r="C194">
        <v>3608</v>
      </c>
      <c r="D194" t="str">
        <f t="shared" si="3"/>
        <v>Government / authority</v>
      </c>
    </row>
    <row r="195" spans="1:4" x14ac:dyDescent="0.2">
      <c r="A195" t="s">
        <v>12</v>
      </c>
      <c r="B195">
        <v>38</v>
      </c>
      <c r="C195">
        <v>3624</v>
      </c>
      <c r="D195" t="str">
        <f t="shared" si="3"/>
        <v>Government / authority</v>
      </c>
    </row>
    <row r="196" spans="1:4" x14ac:dyDescent="0.2">
      <c r="A196" t="s">
        <v>12</v>
      </c>
      <c r="B196">
        <v>38</v>
      </c>
      <c r="C196">
        <v>3599</v>
      </c>
      <c r="D196" t="str">
        <f t="shared" si="3"/>
        <v>Government / authority</v>
      </c>
    </row>
    <row r="197" spans="1:4" x14ac:dyDescent="0.2">
      <c r="A197" t="s">
        <v>12</v>
      </c>
      <c r="B197">
        <v>38</v>
      </c>
      <c r="C197">
        <v>3590</v>
      </c>
      <c r="D197" t="str">
        <f t="shared" si="3"/>
        <v>Government / authority</v>
      </c>
    </row>
    <row r="198" spans="1:4" x14ac:dyDescent="0.2">
      <c r="A198" t="s">
        <v>12</v>
      </c>
      <c r="B198">
        <v>38</v>
      </c>
      <c r="C198">
        <v>3607</v>
      </c>
      <c r="D198" t="str">
        <f t="shared" si="3"/>
        <v>Government / authority</v>
      </c>
    </row>
    <row r="199" spans="1:4" x14ac:dyDescent="0.2">
      <c r="A199" t="s">
        <v>12</v>
      </c>
      <c r="B199">
        <v>38</v>
      </c>
      <c r="C199">
        <v>5068</v>
      </c>
      <c r="D199" t="str">
        <f t="shared" si="3"/>
        <v>Government / authority</v>
      </c>
    </row>
    <row r="200" spans="1:4" x14ac:dyDescent="0.2">
      <c r="A200" t="s">
        <v>12</v>
      </c>
      <c r="B200">
        <v>38</v>
      </c>
      <c r="C200">
        <v>3602</v>
      </c>
      <c r="D200" t="str">
        <f t="shared" si="3"/>
        <v>Government / authority</v>
      </c>
    </row>
    <row r="201" spans="1:4" x14ac:dyDescent="0.2">
      <c r="A201" t="s">
        <v>12</v>
      </c>
      <c r="B201">
        <v>38</v>
      </c>
      <c r="C201">
        <v>3616</v>
      </c>
      <c r="D201" t="str">
        <f t="shared" si="3"/>
        <v>Government / authority</v>
      </c>
    </row>
    <row r="202" spans="1:4" x14ac:dyDescent="0.2">
      <c r="A202" t="s">
        <v>12</v>
      </c>
      <c r="B202">
        <v>38</v>
      </c>
      <c r="C202">
        <v>3605</v>
      </c>
      <c r="D202" t="str">
        <f t="shared" si="3"/>
        <v>Government / authority</v>
      </c>
    </row>
    <row r="203" spans="1:4" x14ac:dyDescent="0.2">
      <c r="A203" t="s">
        <v>12</v>
      </c>
      <c r="B203">
        <v>38</v>
      </c>
      <c r="C203">
        <v>3625</v>
      </c>
      <c r="D203" t="str">
        <f t="shared" si="3"/>
        <v>Government / authority</v>
      </c>
    </row>
    <row r="204" spans="1:4" x14ac:dyDescent="0.2">
      <c r="A204" t="s">
        <v>12</v>
      </c>
      <c r="B204">
        <v>38</v>
      </c>
      <c r="C204">
        <v>3606</v>
      </c>
      <c r="D204" t="str">
        <f t="shared" si="3"/>
        <v>Government / authority</v>
      </c>
    </row>
    <row r="205" spans="1:4" x14ac:dyDescent="0.2">
      <c r="A205" t="s">
        <v>12</v>
      </c>
      <c r="B205">
        <v>38</v>
      </c>
      <c r="C205">
        <v>3604</v>
      </c>
      <c r="D205" t="str">
        <f t="shared" si="3"/>
        <v>Government / authority</v>
      </c>
    </row>
    <row r="206" spans="1:4" x14ac:dyDescent="0.2">
      <c r="A206" t="s">
        <v>12</v>
      </c>
      <c r="B206">
        <v>38</v>
      </c>
      <c r="C206">
        <v>5075</v>
      </c>
      <c r="D206" t="str">
        <f t="shared" si="3"/>
        <v>Government / authority</v>
      </c>
    </row>
    <row r="207" spans="1:4" x14ac:dyDescent="0.2">
      <c r="A207" t="s">
        <v>12</v>
      </c>
      <c r="B207">
        <v>38</v>
      </c>
      <c r="C207">
        <v>3600</v>
      </c>
      <c r="D207" t="str">
        <f t="shared" si="3"/>
        <v>Government / authority</v>
      </c>
    </row>
    <row r="208" spans="1:4" x14ac:dyDescent="0.2">
      <c r="A208" t="s">
        <v>13</v>
      </c>
      <c r="B208">
        <v>37</v>
      </c>
      <c r="C208">
        <v>3345</v>
      </c>
      <c r="D208" t="str">
        <f t="shared" si="3"/>
        <v>Private equity–owned</v>
      </c>
    </row>
    <row r="209" spans="1:4" x14ac:dyDescent="0.2">
      <c r="A209" t="s">
        <v>13</v>
      </c>
      <c r="B209">
        <v>37</v>
      </c>
      <c r="C209">
        <v>3347</v>
      </c>
      <c r="D209" t="str">
        <f t="shared" si="3"/>
        <v>Private equity–owned</v>
      </c>
    </row>
    <row r="210" spans="1:4" x14ac:dyDescent="0.2">
      <c r="A210" t="s">
        <v>13</v>
      </c>
      <c r="B210">
        <v>37</v>
      </c>
      <c r="C210">
        <v>3343</v>
      </c>
      <c r="D210" t="str">
        <f t="shared" si="3"/>
        <v>Private equity–owned</v>
      </c>
    </row>
    <row r="211" spans="1:4" x14ac:dyDescent="0.2">
      <c r="A211" t="s">
        <v>13</v>
      </c>
      <c r="B211">
        <v>37</v>
      </c>
      <c r="C211">
        <v>3350</v>
      </c>
      <c r="D211" t="str">
        <f t="shared" si="3"/>
        <v>Private equity–owned</v>
      </c>
    </row>
    <row r="212" spans="1:4" x14ac:dyDescent="0.2">
      <c r="A212" t="s">
        <v>13</v>
      </c>
      <c r="B212">
        <v>37</v>
      </c>
      <c r="C212">
        <v>3346</v>
      </c>
      <c r="D212" t="str">
        <f t="shared" si="3"/>
        <v>Private equity–owned</v>
      </c>
    </row>
    <row r="213" spans="1:4" x14ac:dyDescent="0.2">
      <c r="A213" t="s">
        <v>13</v>
      </c>
      <c r="B213">
        <v>37</v>
      </c>
      <c r="C213">
        <v>3348</v>
      </c>
      <c r="D213" t="str">
        <f t="shared" si="3"/>
        <v>Private equity–owned</v>
      </c>
    </row>
    <row r="214" spans="1:4" x14ac:dyDescent="0.2">
      <c r="A214" t="s">
        <v>13</v>
      </c>
      <c r="B214">
        <v>37</v>
      </c>
      <c r="C214">
        <v>3349</v>
      </c>
      <c r="D214" t="str">
        <f t="shared" si="3"/>
        <v>Private equity–owned</v>
      </c>
    </row>
    <row r="215" spans="1:4" x14ac:dyDescent="0.2">
      <c r="A215" t="s">
        <v>13</v>
      </c>
      <c r="B215">
        <v>37</v>
      </c>
      <c r="C215">
        <v>3351</v>
      </c>
      <c r="D215" t="str">
        <f t="shared" si="3"/>
        <v>Private equity–owned</v>
      </c>
    </row>
    <row r="216" spans="1:4" x14ac:dyDescent="0.2">
      <c r="A216" t="s">
        <v>13</v>
      </c>
      <c r="B216">
        <v>37</v>
      </c>
      <c r="C216">
        <v>6294</v>
      </c>
      <c r="D216" t="str">
        <f t="shared" si="3"/>
        <v>Private equity–owned</v>
      </c>
    </row>
    <row r="217" spans="1:4" x14ac:dyDescent="0.2">
      <c r="A217" t="s">
        <v>13</v>
      </c>
      <c r="B217">
        <v>37</v>
      </c>
      <c r="C217">
        <v>6293</v>
      </c>
      <c r="D217" t="str">
        <f t="shared" si="3"/>
        <v>Private equity–owned</v>
      </c>
    </row>
    <row r="218" spans="1:4" x14ac:dyDescent="0.2">
      <c r="A218" t="s">
        <v>13</v>
      </c>
      <c r="B218">
        <v>37</v>
      </c>
      <c r="C218">
        <v>6291</v>
      </c>
      <c r="D218" t="str">
        <f t="shared" si="3"/>
        <v>Private equity–owned</v>
      </c>
    </row>
    <row r="219" spans="1:4" x14ac:dyDescent="0.2">
      <c r="A219" t="s">
        <v>13</v>
      </c>
      <c r="B219">
        <v>37</v>
      </c>
      <c r="C219">
        <v>4656</v>
      </c>
      <c r="D219" t="str">
        <f t="shared" si="3"/>
        <v>Private equity–owned</v>
      </c>
    </row>
    <row r="220" spans="1:4" x14ac:dyDescent="0.2">
      <c r="A220" t="s">
        <v>13</v>
      </c>
      <c r="B220">
        <v>37</v>
      </c>
      <c r="C220">
        <v>4584</v>
      </c>
      <c r="D220" t="str">
        <f t="shared" si="3"/>
        <v>Private equity–owned</v>
      </c>
    </row>
    <row r="221" spans="1:4" x14ac:dyDescent="0.2">
      <c r="A221" t="s">
        <v>13</v>
      </c>
      <c r="B221">
        <v>37</v>
      </c>
      <c r="C221">
        <v>6179</v>
      </c>
      <c r="D221" t="str">
        <f t="shared" si="3"/>
        <v>Private equity–owned</v>
      </c>
    </row>
    <row r="222" spans="1:4" x14ac:dyDescent="0.2">
      <c r="A222" t="s">
        <v>13</v>
      </c>
      <c r="B222">
        <v>37</v>
      </c>
      <c r="C222">
        <v>5527</v>
      </c>
      <c r="D222" t="str">
        <f t="shared" si="3"/>
        <v>Private equity–owned</v>
      </c>
    </row>
    <row r="223" spans="1:4" x14ac:dyDescent="0.2">
      <c r="A223" t="s">
        <v>13</v>
      </c>
      <c r="B223">
        <v>37</v>
      </c>
      <c r="C223">
        <v>5256</v>
      </c>
      <c r="D223" t="str">
        <f t="shared" si="3"/>
        <v>Private equity–owned</v>
      </c>
    </row>
    <row r="224" spans="1:4" x14ac:dyDescent="0.2">
      <c r="A224" t="s">
        <v>13</v>
      </c>
      <c r="B224">
        <v>37</v>
      </c>
      <c r="C224">
        <v>4733</v>
      </c>
      <c r="D224" t="str">
        <f t="shared" si="3"/>
        <v>Private equity–owned</v>
      </c>
    </row>
    <row r="225" spans="1:4" x14ac:dyDescent="0.2">
      <c r="A225" t="s">
        <v>13</v>
      </c>
      <c r="B225">
        <v>37</v>
      </c>
      <c r="C225">
        <v>4779</v>
      </c>
      <c r="D225" t="str">
        <f t="shared" si="3"/>
        <v>Private equity–owned</v>
      </c>
    </row>
    <row r="226" spans="1:4" x14ac:dyDescent="0.2">
      <c r="A226" t="s">
        <v>13</v>
      </c>
      <c r="B226">
        <v>37</v>
      </c>
      <c r="C226">
        <v>4781</v>
      </c>
      <c r="D226" t="str">
        <f t="shared" si="3"/>
        <v>Private equity–owned</v>
      </c>
    </row>
    <row r="227" spans="1:4" x14ac:dyDescent="0.2">
      <c r="A227" t="s">
        <v>13</v>
      </c>
      <c r="B227">
        <v>37</v>
      </c>
      <c r="C227">
        <v>4780</v>
      </c>
      <c r="D227" t="str">
        <f t="shared" si="3"/>
        <v>Private equity–owned</v>
      </c>
    </row>
    <row r="228" spans="1:4" x14ac:dyDescent="0.2">
      <c r="A228" t="s">
        <v>13</v>
      </c>
      <c r="B228">
        <v>37</v>
      </c>
      <c r="C228">
        <v>4782</v>
      </c>
      <c r="D228" t="str">
        <f t="shared" ref="D228:D291" si="4">_xlfn.XLOOKUP(A228,$E$2:$E$53,$F$2:$F$53,,1,)</f>
        <v>Private equity–owned</v>
      </c>
    </row>
    <row r="229" spans="1:4" x14ac:dyDescent="0.2">
      <c r="A229" t="s">
        <v>13</v>
      </c>
      <c r="B229">
        <v>37</v>
      </c>
      <c r="C229">
        <v>4783</v>
      </c>
      <c r="D229" t="str">
        <f t="shared" si="4"/>
        <v>Private equity–owned</v>
      </c>
    </row>
    <row r="230" spans="1:4" x14ac:dyDescent="0.2">
      <c r="A230" t="s">
        <v>14</v>
      </c>
      <c r="B230">
        <v>36</v>
      </c>
      <c r="C230">
        <v>5379</v>
      </c>
      <c r="D230" t="str">
        <f t="shared" si="4"/>
        <v>Private equity–owned</v>
      </c>
    </row>
    <row r="231" spans="1:4" x14ac:dyDescent="0.2">
      <c r="A231" t="s">
        <v>14</v>
      </c>
      <c r="B231">
        <v>36</v>
      </c>
      <c r="C231">
        <v>4517</v>
      </c>
      <c r="D231" t="str">
        <f t="shared" si="4"/>
        <v>Private equity–owned</v>
      </c>
    </row>
    <row r="232" spans="1:4" x14ac:dyDescent="0.2">
      <c r="A232" t="s">
        <v>14</v>
      </c>
      <c r="B232">
        <v>36</v>
      </c>
      <c r="C232">
        <v>2349</v>
      </c>
      <c r="D232" t="str">
        <f t="shared" si="4"/>
        <v>Private equity–owned</v>
      </c>
    </row>
    <row r="233" spans="1:4" x14ac:dyDescent="0.2">
      <c r="A233" t="s">
        <v>14</v>
      </c>
      <c r="B233">
        <v>36</v>
      </c>
      <c r="C233">
        <v>3642</v>
      </c>
      <c r="D233" t="str">
        <f t="shared" si="4"/>
        <v>Private equity–owned</v>
      </c>
    </row>
    <row r="234" spans="1:4" x14ac:dyDescent="0.2">
      <c r="A234" t="s">
        <v>14</v>
      </c>
      <c r="B234">
        <v>36</v>
      </c>
      <c r="C234">
        <v>4741</v>
      </c>
      <c r="D234" t="str">
        <f t="shared" si="4"/>
        <v>Private equity–owned</v>
      </c>
    </row>
    <row r="235" spans="1:4" x14ac:dyDescent="0.2">
      <c r="A235" t="s">
        <v>14</v>
      </c>
      <c r="B235">
        <v>36</v>
      </c>
      <c r="C235">
        <v>4369</v>
      </c>
      <c r="D235" t="str">
        <f t="shared" si="4"/>
        <v>Private equity–owned</v>
      </c>
    </row>
    <row r="236" spans="1:4" x14ac:dyDescent="0.2">
      <c r="A236" t="s">
        <v>14</v>
      </c>
      <c r="B236">
        <v>36</v>
      </c>
      <c r="C236">
        <v>4738</v>
      </c>
      <c r="D236" t="str">
        <f t="shared" si="4"/>
        <v>Private equity–owned</v>
      </c>
    </row>
    <row r="237" spans="1:4" x14ac:dyDescent="0.2">
      <c r="A237" t="s">
        <v>14</v>
      </c>
      <c r="B237">
        <v>36</v>
      </c>
      <c r="C237">
        <v>4410</v>
      </c>
      <c r="D237" t="str">
        <f t="shared" si="4"/>
        <v>Private equity–owned</v>
      </c>
    </row>
    <row r="238" spans="1:4" x14ac:dyDescent="0.2">
      <c r="A238" t="s">
        <v>14</v>
      </c>
      <c r="B238">
        <v>36</v>
      </c>
      <c r="C238">
        <v>3303</v>
      </c>
      <c r="D238" t="str">
        <f t="shared" si="4"/>
        <v>Private equity–owned</v>
      </c>
    </row>
    <row r="239" spans="1:4" x14ac:dyDescent="0.2">
      <c r="A239" t="s">
        <v>14</v>
      </c>
      <c r="B239">
        <v>36</v>
      </c>
      <c r="C239">
        <v>5988</v>
      </c>
      <c r="D239" t="str">
        <f t="shared" si="4"/>
        <v>Private equity–owned</v>
      </c>
    </row>
    <row r="240" spans="1:4" x14ac:dyDescent="0.2">
      <c r="A240" t="s">
        <v>14</v>
      </c>
      <c r="B240">
        <v>36</v>
      </c>
      <c r="C240">
        <v>4952</v>
      </c>
      <c r="D240" t="str">
        <f t="shared" si="4"/>
        <v>Private equity–owned</v>
      </c>
    </row>
    <row r="241" spans="1:4" x14ac:dyDescent="0.2">
      <c r="A241" t="s">
        <v>14</v>
      </c>
      <c r="B241">
        <v>36</v>
      </c>
      <c r="C241">
        <v>4592</v>
      </c>
      <c r="D241" t="str">
        <f t="shared" si="4"/>
        <v>Private equity–owned</v>
      </c>
    </row>
    <row r="242" spans="1:4" x14ac:dyDescent="0.2">
      <c r="A242" t="s">
        <v>14</v>
      </c>
      <c r="B242">
        <v>36</v>
      </c>
      <c r="C242">
        <v>5987</v>
      </c>
      <c r="D242" t="str">
        <f t="shared" si="4"/>
        <v>Private equity–owned</v>
      </c>
    </row>
    <row r="243" spans="1:4" x14ac:dyDescent="0.2">
      <c r="A243" t="s">
        <v>14</v>
      </c>
      <c r="B243">
        <v>36</v>
      </c>
      <c r="C243">
        <v>3195</v>
      </c>
      <c r="D243" t="str">
        <f t="shared" si="4"/>
        <v>Private equity–owned</v>
      </c>
    </row>
    <row r="244" spans="1:4" x14ac:dyDescent="0.2">
      <c r="A244" t="s">
        <v>14</v>
      </c>
      <c r="B244">
        <v>36</v>
      </c>
      <c r="C244">
        <v>4518</v>
      </c>
      <c r="D244" t="str">
        <f t="shared" si="4"/>
        <v>Private equity–owned</v>
      </c>
    </row>
    <row r="245" spans="1:4" x14ac:dyDescent="0.2">
      <c r="A245" t="s">
        <v>14</v>
      </c>
      <c r="B245">
        <v>36</v>
      </c>
      <c r="C245">
        <v>3291</v>
      </c>
      <c r="D245" t="str">
        <f t="shared" si="4"/>
        <v>Private equity–owned</v>
      </c>
    </row>
    <row r="246" spans="1:4" x14ac:dyDescent="0.2">
      <c r="A246" t="s">
        <v>14</v>
      </c>
      <c r="B246">
        <v>36</v>
      </c>
      <c r="C246">
        <v>4572</v>
      </c>
      <c r="D246" t="str">
        <f t="shared" si="4"/>
        <v>Private equity–owned</v>
      </c>
    </row>
    <row r="247" spans="1:4" x14ac:dyDescent="0.2">
      <c r="A247" t="s">
        <v>14</v>
      </c>
      <c r="B247">
        <v>36</v>
      </c>
      <c r="C247">
        <v>2989</v>
      </c>
      <c r="D247" t="str">
        <f t="shared" si="4"/>
        <v>Private equity–owned</v>
      </c>
    </row>
    <row r="248" spans="1:4" x14ac:dyDescent="0.2">
      <c r="A248" t="s">
        <v>14</v>
      </c>
      <c r="B248">
        <v>36</v>
      </c>
      <c r="C248">
        <v>3460</v>
      </c>
      <c r="D248" t="str">
        <f t="shared" si="4"/>
        <v>Private equity–owned</v>
      </c>
    </row>
    <row r="249" spans="1:4" x14ac:dyDescent="0.2">
      <c r="A249" t="s">
        <v>14</v>
      </c>
      <c r="B249">
        <v>36</v>
      </c>
      <c r="C249">
        <v>4344</v>
      </c>
      <c r="D249" t="str">
        <f t="shared" si="4"/>
        <v>Private equity–owned</v>
      </c>
    </row>
    <row r="250" spans="1:4" x14ac:dyDescent="0.2">
      <c r="A250" t="s">
        <v>14</v>
      </c>
      <c r="B250">
        <v>36</v>
      </c>
      <c r="C250">
        <v>6497</v>
      </c>
      <c r="D250" t="str">
        <f t="shared" si="4"/>
        <v>Private equity–owned</v>
      </c>
    </row>
    <row r="251" spans="1:4" x14ac:dyDescent="0.2">
      <c r="A251" t="s">
        <v>14</v>
      </c>
      <c r="B251">
        <v>36</v>
      </c>
      <c r="C251">
        <v>4519</v>
      </c>
      <c r="D251" t="str">
        <f t="shared" si="4"/>
        <v>Private equity–owned</v>
      </c>
    </row>
    <row r="252" spans="1:4" x14ac:dyDescent="0.2">
      <c r="A252" t="s">
        <v>14</v>
      </c>
      <c r="B252">
        <v>36</v>
      </c>
      <c r="C252">
        <v>5743</v>
      </c>
      <c r="D252" t="str">
        <f t="shared" si="4"/>
        <v>Private equity–owned</v>
      </c>
    </row>
    <row r="253" spans="1:4" x14ac:dyDescent="0.2">
      <c r="A253" t="s">
        <v>14</v>
      </c>
      <c r="B253">
        <v>36</v>
      </c>
      <c r="C253">
        <v>2579</v>
      </c>
      <c r="D253" t="str">
        <f t="shared" si="4"/>
        <v>Private equity–owned</v>
      </c>
    </row>
    <row r="254" spans="1:4" x14ac:dyDescent="0.2">
      <c r="A254" t="s">
        <v>14</v>
      </c>
      <c r="B254">
        <v>36</v>
      </c>
      <c r="C254">
        <v>3212</v>
      </c>
      <c r="D254" t="str">
        <f t="shared" si="4"/>
        <v>Private equity–owned</v>
      </c>
    </row>
    <row r="255" spans="1:4" x14ac:dyDescent="0.2">
      <c r="A255" t="s">
        <v>14</v>
      </c>
      <c r="B255">
        <v>36</v>
      </c>
      <c r="C255">
        <v>5412</v>
      </c>
      <c r="D255" t="str">
        <f t="shared" si="4"/>
        <v>Private equity–owned</v>
      </c>
    </row>
    <row r="256" spans="1:4" x14ac:dyDescent="0.2">
      <c r="A256" t="s">
        <v>14</v>
      </c>
      <c r="B256">
        <v>36</v>
      </c>
      <c r="C256">
        <v>4950</v>
      </c>
      <c r="D256" t="str">
        <f t="shared" si="4"/>
        <v>Private equity–owned</v>
      </c>
    </row>
    <row r="257" spans="1:4" x14ac:dyDescent="0.2">
      <c r="A257" t="s">
        <v>15</v>
      </c>
      <c r="B257">
        <v>35</v>
      </c>
      <c r="C257">
        <v>982</v>
      </c>
      <c r="D257" t="str">
        <f t="shared" si="4"/>
        <v>Government / authority</v>
      </c>
    </row>
    <row r="258" spans="1:4" x14ac:dyDescent="0.2">
      <c r="A258" t="s">
        <v>15</v>
      </c>
      <c r="B258">
        <v>35</v>
      </c>
      <c r="C258">
        <v>1000</v>
      </c>
      <c r="D258" t="str">
        <f t="shared" si="4"/>
        <v>Government / authority</v>
      </c>
    </row>
    <row r="259" spans="1:4" x14ac:dyDescent="0.2">
      <c r="A259" t="s">
        <v>15</v>
      </c>
      <c r="B259">
        <v>35</v>
      </c>
      <c r="C259">
        <v>950</v>
      </c>
      <c r="D259" t="str">
        <f t="shared" si="4"/>
        <v>Government / authority</v>
      </c>
    </row>
    <row r="260" spans="1:4" x14ac:dyDescent="0.2">
      <c r="A260" t="s">
        <v>15</v>
      </c>
      <c r="B260">
        <v>35</v>
      </c>
      <c r="C260">
        <v>966</v>
      </c>
      <c r="D260" t="str">
        <f t="shared" si="4"/>
        <v>Government / authority</v>
      </c>
    </row>
    <row r="261" spans="1:4" x14ac:dyDescent="0.2">
      <c r="A261" t="s">
        <v>15</v>
      </c>
      <c r="B261">
        <v>35</v>
      </c>
      <c r="C261">
        <v>1079</v>
      </c>
      <c r="D261" t="str">
        <f t="shared" si="4"/>
        <v>Government / authority</v>
      </c>
    </row>
    <row r="262" spans="1:4" x14ac:dyDescent="0.2">
      <c r="A262" t="s">
        <v>15</v>
      </c>
      <c r="B262">
        <v>35</v>
      </c>
      <c r="C262">
        <v>967</v>
      </c>
      <c r="D262" t="str">
        <f t="shared" si="4"/>
        <v>Government / authority</v>
      </c>
    </row>
    <row r="263" spans="1:4" x14ac:dyDescent="0.2">
      <c r="A263" t="s">
        <v>15</v>
      </c>
      <c r="B263">
        <v>35</v>
      </c>
      <c r="C263">
        <v>980</v>
      </c>
      <c r="D263" t="str">
        <f t="shared" si="4"/>
        <v>Government / authority</v>
      </c>
    </row>
    <row r="264" spans="1:4" x14ac:dyDescent="0.2">
      <c r="A264" t="s">
        <v>16</v>
      </c>
      <c r="B264">
        <v>30</v>
      </c>
      <c r="C264">
        <v>5773</v>
      </c>
      <c r="D264" t="str">
        <f t="shared" si="4"/>
        <v>Privately held company</v>
      </c>
    </row>
    <row r="265" spans="1:4" x14ac:dyDescent="0.2">
      <c r="A265" t="s">
        <v>16</v>
      </c>
      <c r="B265">
        <v>30</v>
      </c>
      <c r="C265">
        <v>6264</v>
      </c>
      <c r="D265" t="str">
        <f t="shared" si="4"/>
        <v>Privately held company</v>
      </c>
    </row>
    <row r="266" spans="1:4" x14ac:dyDescent="0.2">
      <c r="A266" t="s">
        <v>16</v>
      </c>
      <c r="B266">
        <v>30</v>
      </c>
      <c r="C266">
        <v>7143</v>
      </c>
      <c r="D266" t="str">
        <f t="shared" si="4"/>
        <v>Privately held company</v>
      </c>
    </row>
    <row r="267" spans="1:4" x14ac:dyDescent="0.2">
      <c r="A267" t="s">
        <v>16</v>
      </c>
      <c r="B267">
        <v>30</v>
      </c>
      <c r="C267">
        <v>6852</v>
      </c>
      <c r="D267" t="str">
        <f t="shared" si="4"/>
        <v>Privately held company</v>
      </c>
    </row>
    <row r="268" spans="1:4" x14ac:dyDescent="0.2">
      <c r="A268" t="s">
        <v>16</v>
      </c>
      <c r="B268">
        <v>30</v>
      </c>
      <c r="C268">
        <v>5816</v>
      </c>
      <c r="D268" t="str">
        <f t="shared" si="4"/>
        <v>Privately held company</v>
      </c>
    </row>
    <row r="269" spans="1:4" x14ac:dyDescent="0.2">
      <c r="A269" t="s">
        <v>16</v>
      </c>
      <c r="B269">
        <v>30</v>
      </c>
      <c r="C269">
        <v>6131</v>
      </c>
      <c r="D269" t="str">
        <f t="shared" si="4"/>
        <v>Privately held company</v>
      </c>
    </row>
    <row r="270" spans="1:4" x14ac:dyDescent="0.2">
      <c r="A270" t="s">
        <v>16</v>
      </c>
      <c r="B270">
        <v>30</v>
      </c>
      <c r="C270">
        <v>4603</v>
      </c>
      <c r="D270" t="str">
        <f t="shared" si="4"/>
        <v>Privately held company</v>
      </c>
    </row>
    <row r="271" spans="1:4" x14ac:dyDescent="0.2">
      <c r="A271" t="s">
        <v>16</v>
      </c>
      <c r="B271">
        <v>30</v>
      </c>
      <c r="C271">
        <v>3466</v>
      </c>
      <c r="D271" t="str">
        <f t="shared" si="4"/>
        <v>Privately held company</v>
      </c>
    </row>
    <row r="272" spans="1:4" x14ac:dyDescent="0.2">
      <c r="A272" t="s">
        <v>16</v>
      </c>
      <c r="B272">
        <v>30</v>
      </c>
      <c r="C272">
        <v>3430</v>
      </c>
      <c r="D272" t="str">
        <f t="shared" si="4"/>
        <v>Privately held company</v>
      </c>
    </row>
    <row r="273" spans="1:4" x14ac:dyDescent="0.2">
      <c r="A273" t="s">
        <v>16</v>
      </c>
      <c r="B273">
        <v>30</v>
      </c>
      <c r="C273">
        <v>5817</v>
      </c>
      <c r="D273" t="str">
        <f t="shared" si="4"/>
        <v>Privately held company</v>
      </c>
    </row>
    <row r="274" spans="1:4" x14ac:dyDescent="0.2">
      <c r="A274" t="s">
        <v>16</v>
      </c>
      <c r="B274">
        <v>30</v>
      </c>
      <c r="C274">
        <v>6133</v>
      </c>
      <c r="D274" t="str">
        <f t="shared" si="4"/>
        <v>Privately held company</v>
      </c>
    </row>
    <row r="275" spans="1:4" x14ac:dyDescent="0.2">
      <c r="A275" t="s">
        <v>16</v>
      </c>
      <c r="B275">
        <v>30</v>
      </c>
      <c r="C275">
        <v>7168</v>
      </c>
      <c r="D275" t="str">
        <f t="shared" si="4"/>
        <v>Privately held company</v>
      </c>
    </row>
    <row r="276" spans="1:4" x14ac:dyDescent="0.2">
      <c r="A276" t="s">
        <v>16</v>
      </c>
      <c r="B276">
        <v>30</v>
      </c>
      <c r="C276">
        <v>2238</v>
      </c>
      <c r="D276" t="str">
        <f t="shared" si="4"/>
        <v>Privately held company</v>
      </c>
    </row>
    <row r="277" spans="1:4" x14ac:dyDescent="0.2">
      <c r="A277" t="s">
        <v>16</v>
      </c>
      <c r="B277">
        <v>30</v>
      </c>
      <c r="C277">
        <v>2935</v>
      </c>
      <c r="D277" t="str">
        <f t="shared" si="4"/>
        <v>Privately held company</v>
      </c>
    </row>
    <row r="278" spans="1:4" x14ac:dyDescent="0.2">
      <c r="A278" t="s">
        <v>16</v>
      </c>
      <c r="B278">
        <v>30</v>
      </c>
      <c r="C278">
        <v>5781</v>
      </c>
      <c r="D278" t="str">
        <f t="shared" si="4"/>
        <v>Privately held company</v>
      </c>
    </row>
    <row r="279" spans="1:4" x14ac:dyDescent="0.2">
      <c r="A279" t="s">
        <v>16</v>
      </c>
      <c r="B279">
        <v>30</v>
      </c>
      <c r="C279">
        <v>1758</v>
      </c>
      <c r="D279" t="str">
        <f t="shared" si="4"/>
        <v>Privately held company</v>
      </c>
    </row>
    <row r="280" spans="1:4" x14ac:dyDescent="0.2">
      <c r="A280" t="s">
        <v>16</v>
      </c>
      <c r="B280">
        <v>30</v>
      </c>
      <c r="C280">
        <v>5899</v>
      </c>
      <c r="D280" t="str">
        <f t="shared" si="4"/>
        <v>Privately held company</v>
      </c>
    </row>
    <row r="281" spans="1:4" x14ac:dyDescent="0.2">
      <c r="A281" t="s">
        <v>16</v>
      </c>
      <c r="B281">
        <v>30</v>
      </c>
      <c r="C281">
        <v>5963</v>
      </c>
      <c r="D281" t="str">
        <f t="shared" si="4"/>
        <v>Privately held company</v>
      </c>
    </row>
    <row r="282" spans="1:4" x14ac:dyDescent="0.2">
      <c r="A282" t="s">
        <v>16</v>
      </c>
      <c r="B282">
        <v>30</v>
      </c>
      <c r="C282">
        <v>2057</v>
      </c>
      <c r="D282" t="str">
        <f t="shared" si="4"/>
        <v>Privately held company</v>
      </c>
    </row>
    <row r="283" spans="1:4" x14ac:dyDescent="0.2">
      <c r="A283" t="s">
        <v>16</v>
      </c>
      <c r="B283">
        <v>30</v>
      </c>
      <c r="C283">
        <v>5668</v>
      </c>
      <c r="D283" t="str">
        <f t="shared" si="4"/>
        <v>Privately held company</v>
      </c>
    </row>
    <row r="284" spans="1:4" x14ac:dyDescent="0.2">
      <c r="A284" t="s">
        <v>16</v>
      </c>
      <c r="B284">
        <v>30</v>
      </c>
      <c r="C284">
        <v>4388</v>
      </c>
      <c r="D284" t="str">
        <f t="shared" si="4"/>
        <v>Privately held company</v>
      </c>
    </row>
    <row r="285" spans="1:4" x14ac:dyDescent="0.2">
      <c r="A285" t="s">
        <v>16</v>
      </c>
      <c r="B285">
        <v>30</v>
      </c>
      <c r="C285">
        <v>6477</v>
      </c>
      <c r="D285" t="str">
        <f t="shared" si="4"/>
        <v>Privately held company</v>
      </c>
    </row>
    <row r="286" spans="1:4" x14ac:dyDescent="0.2">
      <c r="A286" t="s">
        <v>16</v>
      </c>
      <c r="B286">
        <v>30</v>
      </c>
      <c r="C286">
        <v>4300</v>
      </c>
      <c r="D286" t="str">
        <f t="shared" si="4"/>
        <v>Privately held company</v>
      </c>
    </row>
    <row r="287" spans="1:4" x14ac:dyDescent="0.2">
      <c r="A287" t="s">
        <v>17</v>
      </c>
      <c r="B287">
        <v>30</v>
      </c>
      <c r="C287">
        <v>1264</v>
      </c>
      <c r="D287" t="str">
        <f t="shared" si="4"/>
        <v>Government / authority</v>
      </c>
    </row>
    <row r="288" spans="1:4" x14ac:dyDescent="0.2">
      <c r="A288" t="s">
        <v>17</v>
      </c>
      <c r="B288">
        <v>30</v>
      </c>
      <c r="C288">
        <v>976</v>
      </c>
      <c r="D288" t="str">
        <f t="shared" si="4"/>
        <v>Government / authority</v>
      </c>
    </row>
    <row r="289" spans="1:4" x14ac:dyDescent="0.2">
      <c r="A289" t="s">
        <v>17</v>
      </c>
      <c r="B289">
        <v>30</v>
      </c>
      <c r="C289">
        <v>952</v>
      </c>
      <c r="D289" t="str">
        <f t="shared" si="4"/>
        <v>Government / authority</v>
      </c>
    </row>
    <row r="290" spans="1:4" x14ac:dyDescent="0.2">
      <c r="A290" t="s">
        <v>17</v>
      </c>
      <c r="B290">
        <v>30</v>
      </c>
      <c r="C290">
        <v>959</v>
      </c>
      <c r="D290" t="str">
        <f t="shared" si="4"/>
        <v>Government / authority</v>
      </c>
    </row>
    <row r="291" spans="1:4" x14ac:dyDescent="0.2">
      <c r="A291" t="s">
        <v>17</v>
      </c>
      <c r="B291">
        <v>30</v>
      </c>
      <c r="C291">
        <v>1748</v>
      </c>
      <c r="D291" t="str">
        <f t="shared" si="4"/>
        <v>Government / authority</v>
      </c>
    </row>
    <row r="292" spans="1:4" x14ac:dyDescent="0.2">
      <c r="A292" t="s">
        <v>17</v>
      </c>
      <c r="B292">
        <v>30</v>
      </c>
      <c r="C292">
        <v>1289</v>
      </c>
      <c r="D292" t="str">
        <f t="shared" ref="D292:D355" si="5">_xlfn.XLOOKUP(A292,$E$2:$E$53,$F$2:$F$53,,1,)</f>
        <v>Government / authority</v>
      </c>
    </row>
    <row r="293" spans="1:4" x14ac:dyDescent="0.2">
      <c r="A293" t="s">
        <v>18</v>
      </c>
      <c r="B293">
        <v>30</v>
      </c>
      <c r="C293">
        <v>948</v>
      </c>
      <c r="D293" t="str">
        <f t="shared" si="5"/>
        <v>Government / authority</v>
      </c>
    </row>
    <row r="294" spans="1:4" x14ac:dyDescent="0.2">
      <c r="A294" t="s">
        <v>18</v>
      </c>
      <c r="B294">
        <v>30</v>
      </c>
      <c r="C294">
        <v>3156</v>
      </c>
      <c r="D294" t="str">
        <f t="shared" si="5"/>
        <v>Government / authority</v>
      </c>
    </row>
    <row r="295" spans="1:4" x14ac:dyDescent="0.2">
      <c r="A295" t="s">
        <v>18</v>
      </c>
      <c r="B295">
        <v>30</v>
      </c>
      <c r="C295">
        <v>965</v>
      </c>
      <c r="D295" t="str">
        <f t="shared" si="5"/>
        <v>Government / authority</v>
      </c>
    </row>
    <row r="296" spans="1:4" x14ac:dyDescent="0.2">
      <c r="A296" t="s">
        <v>18</v>
      </c>
      <c r="B296">
        <v>30</v>
      </c>
      <c r="C296">
        <v>1265</v>
      </c>
      <c r="D296" t="str">
        <f t="shared" si="5"/>
        <v>Government / authority</v>
      </c>
    </row>
    <row r="297" spans="1:4" x14ac:dyDescent="0.2">
      <c r="A297" t="s">
        <v>18</v>
      </c>
      <c r="B297">
        <v>30</v>
      </c>
      <c r="C297">
        <v>983</v>
      </c>
      <c r="D297" t="str">
        <f t="shared" si="5"/>
        <v>Government / authority</v>
      </c>
    </row>
    <row r="298" spans="1:4" x14ac:dyDescent="0.2">
      <c r="A298" t="s">
        <v>18</v>
      </c>
      <c r="B298">
        <v>30</v>
      </c>
      <c r="C298">
        <v>1269</v>
      </c>
      <c r="D298" t="str">
        <f t="shared" si="5"/>
        <v>Government / authority</v>
      </c>
    </row>
    <row r="299" spans="1:4" x14ac:dyDescent="0.2">
      <c r="A299" t="s">
        <v>19</v>
      </c>
      <c r="B299">
        <v>30</v>
      </c>
      <c r="C299">
        <v>949</v>
      </c>
      <c r="D299" t="str">
        <f t="shared" si="5"/>
        <v>Government / authority</v>
      </c>
    </row>
    <row r="300" spans="1:4" x14ac:dyDescent="0.2">
      <c r="A300" t="s">
        <v>19</v>
      </c>
      <c r="B300">
        <v>30</v>
      </c>
      <c r="C300">
        <v>1770</v>
      </c>
      <c r="D300" t="str">
        <f t="shared" si="5"/>
        <v>Government / authority</v>
      </c>
    </row>
    <row r="301" spans="1:4" x14ac:dyDescent="0.2">
      <c r="A301" t="s">
        <v>19</v>
      </c>
      <c r="B301">
        <v>30</v>
      </c>
      <c r="C301">
        <v>978</v>
      </c>
      <c r="D301" t="str">
        <f t="shared" si="5"/>
        <v>Government / authority</v>
      </c>
    </row>
    <row r="302" spans="1:4" x14ac:dyDescent="0.2">
      <c r="A302" t="s">
        <v>19</v>
      </c>
      <c r="B302">
        <v>30</v>
      </c>
      <c r="C302">
        <v>979</v>
      </c>
      <c r="D302" t="str">
        <f t="shared" si="5"/>
        <v>Government / authority</v>
      </c>
    </row>
    <row r="303" spans="1:4" x14ac:dyDescent="0.2">
      <c r="A303" t="s">
        <v>19</v>
      </c>
      <c r="B303">
        <v>30</v>
      </c>
      <c r="C303">
        <v>954</v>
      </c>
      <c r="D303" t="str">
        <f t="shared" si="5"/>
        <v>Government / authority</v>
      </c>
    </row>
    <row r="304" spans="1:4" x14ac:dyDescent="0.2">
      <c r="A304" t="s">
        <v>19</v>
      </c>
      <c r="B304">
        <v>30</v>
      </c>
      <c r="C304">
        <v>955</v>
      </c>
      <c r="D304" t="str">
        <f t="shared" si="5"/>
        <v>Government / authority</v>
      </c>
    </row>
    <row r="305" spans="1:4" x14ac:dyDescent="0.2">
      <c r="A305" t="s">
        <v>20</v>
      </c>
      <c r="B305">
        <v>29</v>
      </c>
      <c r="C305">
        <v>3046</v>
      </c>
      <c r="D305" t="str">
        <f t="shared" si="5"/>
        <v>Private equity–owned</v>
      </c>
    </row>
    <row r="306" spans="1:4" x14ac:dyDescent="0.2">
      <c r="A306" t="s">
        <v>20</v>
      </c>
      <c r="B306">
        <v>29</v>
      </c>
      <c r="C306">
        <v>6159</v>
      </c>
      <c r="D306" t="str">
        <f t="shared" si="5"/>
        <v>Private equity–owned</v>
      </c>
    </row>
    <row r="307" spans="1:4" x14ac:dyDescent="0.2">
      <c r="A307" t="s">
        <v>20</v>
      </c>
      <c r="B307">
        <v>29</v>
      </c>
      <c r="C307">
        <v>6158</v>
      </c>
      <c r="D307" t="str">
        <f t="shared" si="5"/>
        <v>Private equity–owned</v>
      </c>
    </row>
    <row r="308" spans="1:4" x14ac:dyDescent="0.2">
      <c r="A308" t="s">
        <v>20</v>
      </c>
      <c r="B308">
        <v>29</v>
      </c>
      <c r="C308">
        <v>3020</v>
      </c>
      <c r="D308" t="str">
        <f t="shared" si="5"/>
        <v>Private equity–owned</v>
      </c>
    </row>
    <row r="309" spans="1:4" x14ac:dyDescent="0.2">
      <c r="A309" t="s">
        <v>20</v>
      </c>
      <c r="B309">
        <v>29</v>
      </c>
      <c r="C309">
        <v>3021</v>
      </c>
      <c r="D309" t="str">
        <f t="shared" si="5"/>
        <v>Private equity–owned</v>
      </c>
    </row>
    <row r="310" spans="1:4" x14ac:dyDescent="0.2">
      <c r="A310" t="s">
        <v>20</v>
      </c>
      <c r="B310">
        <v>29</v>
      </c>
      <c r="C310">
        <v>3476</v>
      </c>
      <c r="D310" t="str">
        <f t="shared" si="5"/>
        <v>Private equity–owned</v>
      </c>
    </row>
    <row r="311" spans="1:4" x14ac:dyDescent="0.2">
      <c r="A311" t="s">
        <v>20</v>
      </c>
      <c r="B311">
        <v>29</v>
      </c>
      <c r="C311">
        <v>2746</v>
      </c>
      <c r="D311" t="str">
        <f t="shared" si="5"/>
        <v>Private equity–owned</v>
      </c>
    </row>
    <row r="312" spans="1:4" x14ac:dyDescent="0.2">
      <c r="A312" t="s">
        <v>20</v>
      </c>
      <c r="B312">
        <v>29</v>
      </c>
      <c r="C312">
        <v>6160</v>
      </c>
      <c r="D312" t="str">
        <f t="shared" si="5"/>
        <v>Private equity–owned</v>
      </c>
    </row>
    <row r="313" spans="1:4" x14ac:dyDescent="0.2">
      <c r="A313" t="s">
        <v>20</v>
      </c>
      <c r="B313">
        <v>29</v>
      </c>
      <c r="C313">
        <v>3045</v>
      </c>
      <c r="D313" t="str">
        <f t="shared" si="5"/>
        <v>Private equity–owned</v>
      </c>
    </row>
    <row r="314" spans="1:4" x14ac:dyDescent="0.2">
      <c r="A314" t="s">
        <v>20</v>
      </c>
      <c r="B314">
        <v>29</v>
      </c>
      <c r="C314">
        <v>7112</v>
      </c>
      <c r="D314" t="str">
        <f t="shared" si="5"/>
        <v>Private equity–owned</v>
      </c>
    </row>
    <row r="315" spans="1:4" x14ac:dyDescent="0.2">
      <c r="A315" t="s">
        <v>20</v>
      </c>
      <c r="B315">
        <v>29</v>
      </c>
      <c r="C315">
        <v>2002</v>
      </c>
      <c r="D315" t="str">
        <f t="shared" si="5"/>
        <v>Private equity–owned</v>
      </c>
    </row>
    <row r="316" spans="1:4" x14ac:dyDescent="0.2">
      <c r="A316" t="s">
        <v>20</v>
      </c>
      <c r="B316">
        <v>29</v>
      </c>
      <c r="C316">
        <v>6015</v>
      </c>
      <c r="D316" t="str">
        <f t="shared" si="5"/>
        <v>Private equity–owned</v>
      </c>
    </row>
    <row r="317" spans="1:4" x14ac:dyDescent="0.2">
      <c r="A317" t="s">
        <v>20</v>
      </c>
      <c r="B317">
        <v>29</v>
      </c>
      <c r="C317">
        <v>7044</v>
      </c>
      <c r="D317" t="str">
        <f t="shared" si="5"/>
        <v>Private equity–owned</v>
      </c>
    </row>
    <row r="318" spans="1:4" x14ac:dyDescent="0.2">
      <c r="A318" t="s">
        <v>20</v>
      </c>
      <c r="B318">
        <v>29</v>
      </c>
      <c r="C318">
        <v>7045</v>
      </c>
      <c r="D318" t="str">
        <f t="shared" si="5"/>
        <v>Private equity–owned</v>
      </c>
    </row>
    <row r="319" spans="1:4" x14ac:dyDescent="0.2">
      <c r="A319" t="s">
        <v>20</v>
      </c>
      <c r="B319">
        <v>29</v>
      </c>
      <c r="C319">
        <v>6588</v>
      </c>
      <c r="D319" t="str">
        <f t="shared" si="5"/>
        <v>Private equity–owned</v>
      </c>
    </row>
    <row r="320" spans="1:4" x14ac:dyDescent="0.2">
      <c r="A320" t="s">
        <v>20</v>
      </c>
      <c r="B320">
        <v>29</v>
      </c>
      <c r="C320">
        <v>1742</v>
      </c>
      <c r="D320" t="str">
        <f t="shared" si="5"/>
        <v>Private equity–owned</v>
      </c>
    </row>
    <row r="321" spans="1:4" x14ac:dyDescent="0.2">
      <c r="A321" t="s">
        <v>20</v>
      </c>
      <c r="B321">
        <v>29</v>
      </c>
      <c r="C321">
        <v>6635</v>
      </c>
      <c r="D321" t="str">
        <f t="shared" si="5"/>
        <v>Private equity–owned</v>
      </c>
    </row>
    <row r="322" spans="1:4" x14ac:dyDescent="0.2">
      <c r="A322" t="s">
        <v>20</v>
      </c>
      <c r="B322">
        <v>29</v>
      </c>
      <c r="C322">
        <v>2674</v>
      </c>
      <c r="D322" t="str">
        <f t="shared" si="5"/>
        <v>Private equity–owned</v>
      </c>
    </row>
    <row r="323" spans="1:4" x14ac:dyDescent="0.2">
      <c r="A323" t="s">
        <v>20</v>
      </c>
      <c r="B323">
        <v>29</v>
      </c>
      <c r="C323">
        <v>3047</v>
      </c>
      <c r="D323" t="str">
        <f t="shared" si="5"/>
        <v>Private equity–owned</v>
      </c>
    </row>
    <row r="324" spans="1:4" x14ac:dyDescent="0.2">
      <c r="A324" t="s">
        <v>20</v>
      </c>
      <c r="B324">
        <v>29</v>
      </c>
      <c r="C324">
        <v>2998</v>
      </c>
      <c r="D324" t="str">
        <f t="shared" si="5"/>
        <v>Private equity–owned</v>
      </c>
    </row>
    <row r="325" spans="1:4" x14ac:dyDescent="0.2">
      <c r="A325" t="s">
        <v>20</v>
      </c>
      <c r="B325">
        <v>29</v>
      </c>
      <c r="C325">
        <v>256</v>
      </c>
      <c r="D325" t="str">
        <f t="shared" si="5"/>
        <v>Private equity–owned</v>
      </c>
    </row>
    <row r="326" spans="1:4" x14ac:dyDescent="0.2">
      <c r="A326" t="s">
        <v>20</v>
      </c>
      <c r="B326">
        <v>29</v>
      </c>
      <c r="C326">
        <v>274</v>
      </c>
      <c r="D326" t="str">
        <f t="shared" si="5"/>
        <v>Private equity–owned</v>
      </c>
    </row>
    <row r="327" spans="1:4" x14ac:dyDescent="0.2">
      <c r="A327" t="s">
        <v>20</v>
      </c>
      <c r="B327">
        <v>29</v>
      </c>
      <c r="C327">
        <v>233</v>
      </c>
      <c r="D327" t="str">
        <f t="shared" si="5"/>
        <v>Private equity–owned</v>
      </c>
    </row>
    <row r="328" spans="1:4" x14ac:dyDescent="0.2">
      <c r="A328" t="s">
        <v>20</v>
      </c>
      <c r="B328">
        <v>29</v>
      </c>
      <c r="C328">
        <v>2756</v>
      </c>
      <c r="D328" t="str">
        <f t="shared" si="5"/>
        <v>Private equity–owned</v>
      </c>
    </row>
    <row r="329" spans="1:4" x14ac:dyDescent="0.2">
      <c r="A329" t="s">
        <v>21</v>
      </c>
      <c r="B329">
        <v>28</v>
      </c>
      <c r="C329">
        <v>4458</v>
      </c>
      <c r="D329" t="str">
        <f t="shared" si="5"/>
        <v>Privately held company</v>
      </c>
    </row>
    <row r="330" spans="1:4" x14ac:dyDescent="0.2">
      <c r="A330" t="s">
        <v>21</v>
      </c>
      <c r="B330">
        <v>28</v>
      </c>
      <c r="C330">
        <v>4457</v>
      </c>
      <c r="D330" t="str">
        <f t="shared" si="5"/>
        <v>Privately held company</v>
      </c>
    </row>
    <row r="331" spans="1:4" x14ac:dyDescent="0.2">
      <c r="A331" t="s">
        <v>21</v>
      </c>
      <c r="B331">
        <v>28</v>
      </c>
      <c r="C331">
        <v>4456</v>
      </c>
      <c r="D331" t="str">
        <f t="shared" si="5"/>
        <v>Privately held company</v>
      </c>
    </row>
    <row r="332" spans="1:4" x14ac:dyDescent="0.2">
      <c r="A332" t="s">
        <v>21</v>
      </c>
      <c r="B332">
        <v>28</v>
      </c>
      <c r="C332">
        <v>6042</v>
      </c>
      <c r="D332" t="str">
        <f t="shared" si="5"/>
        <v>Privately held company</v>
      </c>
    </row>
    <row r="333" spans="1:4" x14ac:dyDescent="0.2">
      <c r="A333" t="s">
        <v>21</v>
      </c>
      <c r="B333">
        <v>28</v>
      </c>
      <c r="C333">
        <v>6041</v>
      </c>
      <c r="D333" t="str">
        <f t="shared" si="5"/>
        <v>Privately held company</v>
      </c>
    </row>
    <row r="334" spans="1:4" x14ac:dyDescent="0.2">
      <c r="A334" t="s">
        <v>21</v>
      </c>
      <c r="B334">
        <v>28</v>
      </c>
      <c r="C334">
        <v>6737</v>
      </c>
      <c r="D334" t="str">
        <f t="shared" si="5"/>
        <v>Privately held company</v>
      </c>
    </row>
    <row r="335" spans="1:4" x14ac:dyDescent="0.2">
      <c r="A335" t="s">
        <v>21</v>
      </c>
      <c r="B335">
        <v>28</v>
      </c>
      <c r="C335">
        <v>6738</v>
      </c>
      <c r="D335" t="str">
        <f t="shared" si="5"/>
        <v>Privately held company</v>
      </c>
    </row>
    <row r="336" spans="1:4" x14ac:dyDescent="0.2">
      <c r="A336" t="s">
        <v>21</v>
      </c>
      <c r="B336">
        <v>28</v>
      </c>
      <c r="C336">
        <v>4583</v>
      </c>
      <c r="D336" t="str">
        <f t="shared" si="5"/>
        <v>Privately held company</v>
      </c>
    </row>
    <row r="337" spans="1:4" x14ac:dyDescent="0.2">
      <c r="A337" t="s">
        <v>21</v>
      </c>
      <c r="B337">
        <v>28</v>
      </c>
      <c r="C337">
        <v>4582</v>
      </c>
      <c r="D337" t="str">
        <f t="shared" si="5"/>
        <v>Privately held company</v>
      </c>
    </row>
    <row r="338" spans="1:4" x14ac:dyDescent="0.2">
      <c r="A338" t="s">
        <v>21</v>
      </c>
      <c r="B338">
        <v>28</v>
      </c>
      <c r="C338">
        <v>4287</v>
      </c>
      <c r="D338" t="str">
        <f t="shared" si="5"/>
        <v>Privately held company</v>
      </c>
    </row>
    <row r="339" spans="1:4" x14ac:dyDescent="0.2">
      <c r="A339" t="s">
        <v>21</v>
      </c>
      <c r="B339">
        <v>28</v>
      </c>
      <c r="C339">
        <v>6685</v>
      </c>
      <c r="D339" t="str">
        <f t="shared" si="5"/>
        <v>Privately held company</v>
      </c>
    </row>
    <row r="340" spans="1:4" x14ac:dyDescent="0.2">
      <c r="A340" t="s">
        <v>21</v>
      </c>
      <c r="B340">
        <v>28</v>
      </c>
      <c r="C340">
        <v>6704</v>
      </c>
      <c r="D340" t="str">
        <f t="shared" si="5"/>
        <v>Privately held company</v>
      </c>
    </row>
    <row r="341" spans="1:4" x14ac:dyDescent="0.2">
      <c r="A341" t="s">
        <v>21</v>
      </c>
      <c r="B341">
        <v>28</v>
      </c>
      <c r="C341">
        <v>5162</v>
      </c>
      <c r="D341" t="str">
        <f t="shared" si="5"/>
        <v>Privately held company</v>
      </c>
    </row>
    <row r="342" spans="1:4" x14ac:dyDescent="0.2">
      <c r="A342" t="s">
        <v>21</v>
      </c>
      <c r="B342">
        <v>28</v>
      </c>
      <c r="C342">
        <v>4770</v>
      </c>
      <c r="D342" t="str">
        <f t="shared" si="5"/>
        <v>Privately held company</v>
      </c>
    </row>
    <row r="343" spans="1:4" x14ac:dyDescent="0.2">
      <c r="A343" t="s">
        <v>21</v>
      </c>
      <c r="B343">
        <v>28</v>
      </c>
      <c r="C343">
        <v>6455</v>
      </c>
      <c r="D343" t="str">
        <f t="shared" si="5"/>
        <v>Privately held company</v>
      </c>
    </row>
    <row r="344" spans="1:4" x14ac:dyDescent="0.2">
      <c r="A344" t="s">
        <v>21</v>
      </c>
      <c r="B344">
        <v>28</v>
      </c>
      <c r="C344">
        <v>5160</v>
      </c>
      <c r="D344" t="str">
        <f t="shared" si="5"/>
        <v>Privately held company</v>
      </c>
    </row>
    <row r="345" spans="1:4" x14ac:dyDescent="0.2">
      <c r="A345" t="s">
        <v>21</v>
      </c>
      <c r="B345">
        <v>28</v>
      </c>
      <c r="C345">
        <v>7273</v>
      </c>
      <c r="D345" t="str">
        <f t="shared" si="5"/>
        <v>Privately held company</v>
      </c>
    </row>
    <row r="346" spans="1:4" x14ac:dyDescent="0.2">
      <c r="A346" t="s">
        <v>21</v>
      </c>
      <c r="B346">
        <v>28</v>
      </c>
      <c r="C346">
        <v>6103</v>
      </c>
      <c r="D346" t="str">
        <f t="shared" si="5"/>
        <v>Privately held company</v>
      </c>
    </row>
    <row r="347" spans="1:4" x14ac:dyDescent="0.2">
      <c r="A347" t="s">
        <v>21</v>
      </c>
      <c r="B347">
        <v>28</v>
      </c>
      <c r="C347">
        <v>6236</v>
      </c>
      <c r="D347" t="str">
        <f t="shared" si="5"/>
        <v>Privately held company</v>
      </c>
    </row>
    <row r="348" spans="1:4" x14ac:dyDescent="0.2">
      <c r="A348" t="s">
        <v>21</v>
      </c>
      <c r="B348">
        <v>28</v>
      </c>
      <c r="C348">
        <v>4784</v>
      </c>
      <c r="D348" t="str">
        <f t="shared" si="5"/>
        <v>Privately held company</v>
      </c>
    </row>
    <row r="349" spans="1:4" x14ac:dyDescent="0.2">
      <c r="A349" t="s">
        <v>21</v>
      </c>
      <c r="B349">
        <v>28</v>
      </c>
      <c r="C349">
        <v>4785</v>
      </c>
      <c r="D349" t="str">
        <f t="shared" si="5"/>
        <v>Privately held company</v>
      </c>
    </row>
    <row r="350" spans="1:4" x14ac:dyDescent="0.2">
      <c r="A350" t="s">
        <v>21</v>
      </c>
      <c r="B350">
        <v>28</v>
      </c>
      <c r="C350">
        <v>4786</v>
      </c>
      <c r="D350" t="str">
        <f t="shared" si="5"/>
        <v>Privately held company</v>
      </c>
    </row>
    <row r="351" spans="1:4" x14ac:dyDescent="0.2">
      <c r="A351" t="s">
        <v>21</v>
      </c>
      <c r="B351">
        <v>28</v>
      </c>
      <c r="C351">
        <v>4787</v>
      </c>
      <c r="D351" t="str">
        <f t="shared" si="5"/>
        <v>Privately held company</v>
      </c>
    </row>
    <row r="352" spans="1:4" x14ac:dyDescent="0.2">
      <c r="A352" t="s">
        <v>22</v>
      </c>
      <c r="B352">
        <v>25</v>
      </c>
      <c r="C352">
        <v>2772</v>
      </c>
      <c r="D352" t="str">
        <f t="shared" si="5"/>
        <v>Privately held company</v>
      </c>
    </row>
    <row r="353" spans="1:4" x14ac:dyDescent="0.2">
      <c r="A353" t="s">
        <v>22</v>
      </c>
      <c r="B353">
        <v>25</v>
      </c>
      <c r="C353">
        <v>6880</v>
      </c>
      <c r="D353" t="str">
        <f t="shared" si="5"/>
        <v>Privately held company</v>
      </c>
    </row>
    <row r="354" spans="1:4" x14ac:dyDescent="0.2">
      <c r="A354" t="s">
        <v>22</v>
      </c>
      <c r="B354">
        <v>25</v>
      </c>
      <c r="C354">
        <v>4312</v>
      </c>
      <c r="D354" t="str">
        <f t="shared" si="5"/>
        <v>Privately held company</v>
      </c>
    </row>
    <row r="355" spans="1:4" x14ac:dyDescent="0.2">
      <c r="A355" t="s">
        <v>22</v>
      </c>
      <c r="B355">
        <v>25</v>
      </c>
      <c r="C355">
        <v>4879</v>
      </c>
      <c r="D355" t="str">
        <f t="shared" si="5"/>
        <v>Privately held company</v>
      </c>
    </row>
    <row r="356" spans="1:4" x14ac:dyDescent="0.2">
      <c r="A356" t="s">
        <v>22</v>
      </c>
      <c r="B356">
        <v>25</v>
      </c>
      <c r="C356">
        <v>2716</v>
      </c>
      <c r="D356" t="str">
        <f t="shared" ref="D356:D419" si="6">_xlfn.XLOOKUP(A356,$E$2:$E$53,$F$2:$F$53,,1,)</f>
        <v>Privately held company</v>
      </c>
    </row>
    <row r="357" spans="1:4" x14ac:dyDescent="0.2">
      <c r="A357" t="s">
        <v>22</v>
      </c>
      <c r="B357">
        <v>25</v>
      </c>
      <c r="C357">
        <v>3078</v>
      </c>
      <c r="D357" t="str">
        <f t="shared" si="6"/>
        <v>Privately held company</v>
      </c>
    </row>
    <row r="358" spans="1:4" x14ac:dyDescent="0.2">
      <c r="A358" t="s">
        <v>22</v>
      </c>
      <c r="B358">
        <v>25</v>
      </c>
      <c r="C358">
        <v>3639</v>
      </c>
      <c r="D358" t="str">
        <f t="shared" si="6"/>
        <v>Privately held company</v>
      </c>
    </row>
    <row r="359" spans="1:4" x14ac:dyDescent="0.2">
      <c r="A359" t="s">
        <v>22</v>
      </c>
      <c r="B359">
        <v>25</v>
      </c>
      <c r="C359">
        <v>5475</v>
      </c>
      <c r="D359" t="str">
        <f t="shared" si="6"/>
        <v>Privately held company</v>
      </c>
    </row>
    <row r="360" spans="1:4" x14ac:dyDescent="0.2">
      <c r="A360" t="s">
        <v>22</v>
      </c>
      <c r="B360">
        <v>25</v>
      </c>
      <c r="C360">
        <v>3504</v>
      </c>
      <c r="D360" t="str">
        <f t="shared" si="6"/>
        <v>Privately held company</v>
      </c>
    </row>
    <row r="361" spans="1:4" x14ac:dyDescent="0.2">
      <c r="A361" t="s">
        <v>22</v>
      </c>
      <c r="B361">
        <v>25</v>
      </c>
      <c r="C361">
        <v>4610</v>
      </c>
      <c r="D361" t="str">
        <f t="shared" si="6"/>
        <v>Privately held company</v>
      </c>
    </row>
    <row r="362" spans="1:4" x14ac:dyDescent="0.2">
      <c r="A362" t="s">
        <v>22</v>
      </c>
      <c r="B362">
        <v>25</v>
      </c>
      <c r="C362">
        <v>5005</v>
      </c>
      <c r="D362" t="str">
        <f t="shared" si="6"/>
        <v>Privately held company</v>
      </c>
    </row>
    <row r="363" spans="1:4" x14ac:dyDescent="0.2">
      <c r="A363" t="s">
        <v>22</v>
      </c>
      <c r="B363">
        <v>25</v>
      </c>
      <c r="C363">
        <v>5008</v>
      </c>
      <c r="D363" t="str">
        <f t="shared" si="6"/>
        <v>Privately held company</v>
      </c>
    </row>
    <row r="364" spans="1:4" x14ac:dyDescent="0.2">
      <c r="A364" t="s">
        <v>22</v>
      </c>
      <c r="B364">
        <v>25</v>
      </c>
      <c r="C364">
        <v>5065</v>
      </c>
      <c r="D364" t="str">
        <f t="shared" si="6"/>
        <v>Privately held company</v>
      </c>
    </row>
    <row r="365" spans="1:4" x14ac:dyDescent="0.2">
      <c r="A365" t="s">
        <v>22</v>
      </c>
      <c r="B365">
        <v>25</v>
      </c>
      <c r="C365">
        <v>5088</v>
      </c>
      <c r="D365" t="str">
        <f t="shared" si="6"/>
        <v>Privately held company</v>
      </c>
    </row>
    <row r="366" spans="1:4" x14ac:dyDescent="0.2">
      <c r="A366" t="s">
        <v>22</v>
      </c>
      <c r="B366">
        <v>25</v>
      </c>
      <c r="C366">
        <v>4997</v>
      </c>
      <c r="D366" t="str">
        <f t="shared" si="6"/>
        <v>Privately held company</v>
      </c>
    </row>
    <row r="367" spans="1:4" x14ac:dyDescent="0.2">
      <c r="A367" t="s">
        <v>22</v>
      </c>
      <c r="B367">
        <v>25</v>
      </c>
      <c r="C367">
        <v>3598</v>
      </c>
      <c r="D367" t="str">
        <f t="shared" si="6"/>
        <v>Privately held company</v>
      </c>
    </row>
    <row r="368" spans="1:4" x14ac:dyDescent="0.2">
      <c r="A368" t="s">
        <v>22</v>
      </c>
      <c r="B368">
        <v>25</v>
      </c>
      <c r="C368">
        <v>5063</v>
      </c>
      <c r="D368" t="str">
        <f t="shared" si="6"/>
        <v>Privately held company</v>
      </c>
    </row>
    <row r="369" spans="1:4" x14ac:dyDescent="0.2">
      <c r="A369" t="s">
        <v>22</v>
      </c>
      <c r="B369">
        <v>25</v>
      </c>
      <c r="C369">
        <v>3487</v>
      </c>
      <c r="D369" t="str">
        <f t="shared" si="6"/>
        <v>Privately held company</v>
      </c>
    </row>
    <row r="370" spans="1:4" x14ac:dyDescent="0.2">
      <c r="A370" t="s">
        <v>22</v>
      </c>
      <c r="B370">
        <v>25</v>
      </c>
      <c r="C370">
        <v>6701</v>
      </c>
      <c r="D370" t="str">
        <f t="shared" si="6"/>
        <v>Privately held company</v>
      </c>
    </row>
    <row r="371" spans="1:4" x14ac:dyDescent="0.2">
      <c r="A371" t="s">
        <v>22</v>
      </c>
      <c r="B371">
        <v>25</v>
      </c>
      <c r="C371">
        <v>379</v>
      </c>
      <c r="D371" t="str">
        <f t="shared" si="6"/>
        <v>Privately held company</v>
      </c>
    </row>
    <row r="372" spans="1:4" x14ac:dyDescent="0.2">
      <c r="A372" t="s">
        <v>22</v>
      </c>
      <c r="B372">
        <v>25</v>
      </c>
      <c r="C372">
        <v>6190</v>
      </c>
      <c r="D372" t="str">
        <f t="shared" si="6"/>
        <v>Privately held company</v>
      </c>
    </row>
    <row r="373" spans="1:4" x14ac:dyDescent="0.2">
      <c r="A373" t="s">
        <v>22</v>
      </c>
      <c r="B373">
        <v>25</v>
      </c>
      <c r="C373">
        <v>5023</v>
      </c>
      <c r="D373" t="str">
        <f t="shared" si="6"/>
        <v>Privately held company</v>
      </c>
    </row>
    <row r="374" spans="1:4" x14ac:dyDescent="0.2">
      <c r="A374" t="s">
        <v>22</v>
      </c>
      <c r="B374">
        <v>25</v>
      </c>
      <c r="C374">
        <v>3207</v>
      </c>
      <c r="D374" t="str">
        <f t="shared" si="6"/>
        <v>Privately held company</v>
      </c>
    </row>
    <row r="375" spans="1:4" x14ac:dyDescent="0.2">
      <c r="A375" t="s">
        <v>22</v>
      </c>
      <c r="B375">
        <v>25</v>
      </c>
      <c r="C375">
        <v>876</v>
      </c>
      <c r="D375" t="str">
        <f t="shared" si="6"/>
        <v>Privately held company</v>
      </c>
    </row>
    <row r="376" spans="1:4" x14ac:dyDescent="0.2">
      <c r="A376" t="s">
        <v>22</v>
      </c>
      <c r="B376">
        <v>25</v>
      </c>
      <c r="C376">
        <v>3496</v>
      </c>
      <c r="D376" t="str">
        <f t="shared" si="6"/>
        <v>Privately held company</v>
      </c>
    </row>
    <row r="377" spans="1:4" x14ac:dyDescent="0.2">
      <c r="A377" t="s">
        <v>23</v>
      </c>
      <c r="B377">
        <v>24</v>
      </c>
      <c r="C377">
        <v>7259</v>
      </c>
      <c r="D377" t="str">
        <f t="shared" si="6"/>
        <v>Privately held company</v>
      </c>
    </row>
    <row r="378" spans="1:4" x14ac:dyDescent="0.2">
      <c r="A378" t="s">
        <v>23</v>
      </c>
      <c r="B378">
        <v>24</v>
      </c>
      <c r="C378">
        <v>7031</v>
      </c>
      <c r="D378" t="str">
        <f t="shared" si="6"/>
        <v>Privately held company</v>
      </c>
    </row>
    <row r="379" spans="1:4" x14ac:dyDescent="0.2">
      <c r="A379" t="s">
        <v>23</v>
      </c>
      <c r="B379">
        <v>24</v>
      </c>
      <c r="C379">
        <v>6956</v>
      </c>
      <c r="D379" t="str">
        <f t="shared" si="6"/>
        <v>Privately held company</v>
      </c>
    </row>
    <row r="380" spans="1:4" x14ac:dyDescent="0.2">
      <c r="A380" t="s">
        <v>23</v>
      </c>
      <c r="B380">
        <v>24</v>
      </c>
      <c r="C380">
        <v>6957</v>
      </c>
      <c r="D380" t="str">
        <f t="shared" si="6"/>
        <v>Privately held company</v>
      </c>
    </row>
    <row r="381" spans="1:4" x14ac:dyDescent="0.2">
      <c r="A381" t="s">
        <v>23</v>
      </c>
      <c r="B381">
        <v>24</v>
      </c>
      <c r="C381">
        <v>7221</v>
      </c>
      <c r="D381" t="str">
        <f t="shared" si="6"/>
        <v>Privately held company</v>
      </c>
    </row>
    <row r="382" spans="1:4" x14ac:dyDescent="0.2">
      <c r="A382" t="s">
        <v>23</v>
      </c>
      <c r="B382">
        <v>24</v>
      </c>
      <c r="C382">
        <v>6344</v>
      </c>
      <c r="D382" t="str">
        <f t="shared" si="6"/>
        <v>Privately held company</v>
      </c>
    </row>
    <row r="383" spans="1:4" x14ac:dyDescent="0.2">
      <c r="A383" t="s">
        <v>23</v>
      </c>
      <c r="B383">
        <v>24</v>
      </c>
      <c r="C383">
        <v>5289</v>
      </c>
      <c r="D383" t="str">
        <f t="shared" si="6"/>
        <v>Privately held company</v>
      </c>
    </row>
    <row r="384" spans="1:4" x14ac:dyDescent="0.2">
      <c r="A384" t="s">
        <v>23</v>
      </c>
      <c r="B384">
        <v>24</v>
      </c>
      <c r="C384">
        <v>6413</v>
      </c>
      <c r="D384" t="str">
        <f t="shared" si="6"/>
        <v>Privately held company</v>
      </c>
    </row>
    <row r="385" spans="1:4" x14ac:dyDescent="0.2">
      <c r="A385" t="s">
        <v>23</v>
      </c>
      <c r="B385">
        <v>24</v>
      </c>
      <c r="C385">
        <v>6690</v>
      </c>
      <c r="D385" t="str">
        <f t="shared" si="6"/>
        <v>Privately held company</v>
      </c>
    </row>
    <row r="386" spans="1:4" x14ac:dyDescent="0.2">
      <c r="A386" t="s">
        <v>23</v>
      </c>
      <c r="B386">
        <v>24</v>
      </c>
      <c r="C386">
        <v>6577</v>
      </c>
      <c r="D386" t="str">
        <f t="shared" si="6"/>
        <v>Privately held company</v>
      </c>
    </row>
    <row r="387" spans="1:4" x14ac:dyDescent="0.2">
      <c r="A387" t="s">
        <v>23</v>
      </c>
      <c r="B387">
        <v>24</v>
      </c>
      <c r="C387">
        <v>7244</v>
      </c>
      <c r="D387" t="str">
        <f t="shared" si="6"/>
        <v>Privately held company</v>
      </c>
    </row>
    <row r="388" spans="1:4" x14ac:dyDescent="0.2">
      <c r="A388" t="s">
        <v>23</v>
      </c>
      <c r="B388">
        <v>24</v>
      </c>
      <c r="C388">
        <v>6711</v>
      </c>
      <c r="D388" t="str">
        <f t="shared" si="6"/>
        <v>Privately held company</v>
      </c>
    </row>
    <row r="389" spans="1:4" x14ac:dyDescent="0.2">
      <c r="A389" t="s">
        <v>23</v>
      </c>
      <c r="B389">
        <v>24</v>
      </c>
      <c r="C389">
        <v>6583</v>
      </c>
      <c r="D389" t="str">
        <f t="shared" si="6"/>
        <v>Privately held company</v>
      </c>
    </row>
    <row r="390" spans="1:4" x14ac:dyDescent="0.2">
      <c r="A390" t="s">
        <v>23</v>
      </c>
      <c r="B390">
        <v>24</v>
      </c>
      <c r="C390">
        <v>6414</v>
      </c>
      <c r="D390" t="str">
        <f t="shared" si="6"/>
        <v>Privately held company</v>
      </c>
    </row>
    <row r="391" spans="1:4" x14ac:dyDescent="0.2">
      <c r="A391" t="s">
        <v>23</v>
      </c>
      <c r="B391">
        <v>24</v>
      </c>
      <c r="C391">
        <v>6977</v>
      </c>
      <c r="D391" t="str">
        <f t="shared" si="6"/>
        <v>Privately held company</v>
      </c>
    </row>
    <row r="392" spans="1:4" x14ac:dyDescent="0.2">
      <c r="A392" t="s">
        <v>24</v>
      </c>
      <c r="B392">
        <v>23</v>
      </c>
      <c r="C392">
        <v>2441</v>
      </c>
      <c r="D392" t="str">
        <f t="shared" si="6"/>
        <v>Government / authority</v>
      </c>
    </row>
    <row r="393" spans="1:4" x14ac:dyDescent="0.2">
      <c r="A393" t="s">
        <v>24</v>
      </c>
      <c r="B393">
        <v>23</v>
      </c>
      <c r="C393">
        <v>2445</v>
      </c>
      <c r="D393" t="str">
        <f t="shared" si="6"/>
        <v>Government / authority</v>
      </c>
    </row>
    <row r="394" spans="1:4" x14ac:dyDescent="0.2">
      <c r="A394" t="s">
        <v>24</v>
      </c>
      <c r="B394">
        <v>23</v>
      </c>
      <c r="C394">
        <v>4844</v>
      </c>
      <c r="D394" t="str">
        <f t="shared" si="6"/>
        <v>Government / authority</v>
      </c>
    </row>
    <row r="395" spans="1:4" x14ac:dyDescent="0.2">
      <c r="A395" t="s">
        <v>24</v>
      </c>
      <c r="B395">
        <v>23</v>
      </c>
      <c r="C395">
        <v>3093</v>
      </c>
      <c r="D395" t="str">
        <f t="shared" si="6"/>
        <v>Government / authority</v>
      </c>
    </row>
    <row r="396" spans="1:4" x14ac:dyDescent="0.2">
      <c r="A396" t="s">
        <v>24</v>
      </c>
      <c r="B396">
        <v>23</v>
      </c>
      <c r="C396">
        <v>3546</v>
      </c>
      <c r="D396" t="str">
        <f t="shared" si="6"/>
        <v>Government / authority</v>
      </c>
    </row>
    <row r="397" spans="1:4" x14ac:dyDescent="0.2">
      <c r="A397" t="s">
        <v>24</v>
      </c>
      <c r="B397">
        <v>23</v>
      </c>
      <c r="C397">
        <v>2443</v>
      </c>
      <c r="D397" t="str">
        <f t="shared" si="6"/>
        <v>Government / authority</v>
      </c>
    </row>
    <row r="398" spans="1:4" x14ac:dyDescent="0.2">
      <c r="A398" t="s">
        <v>24</v>
      </c>
      <c r="B398">
        <v>23</v>
      </c>
      <c r="C398">
        <v>2051</v>
      </c>
      <c r="D398" t="str">
        <f t="shared" si="6"/>
        <v>Government / authority</v>
      </c>
    </row>
    <row r="399" spans="1:4" x14ac:dyDescent="0.2">
      <c r="A399" t="s">
        <v>24</v>
      </c>
      <c r="B399">
        <v>23</v>
      </c>
      <c r="C399">
        <v>1053</v>
      </c>
      <c r="D399" t="str">
        <f t="shared" si="6"/>
        <v>Government / authority</v>
      </c>
    </row>
    <row r="400" spans="1:4" x14ac:dyDescent="0.2">
      <c r="A400" t="s">
        <v>24</v>
      </c>
      <c r="B400">
        <v>23</v>
      </c>
      <c r="C400">
        <v>2440</v>
      </c>
      <c r="D400" t="str">
        <f t="shared" si="6"/>
        <v>Government / authority</v>
      </c>
    </row>
    <row r="401" spans="1:4" x14ac:dyDescent="0.2">
      <c r="A401" t="s">
        <v>24</v>
      </c>
      <c r="B401">
        <v>23</v>
      </c>
      <c r="C401">
        <v>7090</v>
      </c>
      <c r="D401" t="str">
        <f t="shared" si="6"/>
        <v>Government / authority</v>
      </c>
    </row>
    <row r="402" spans="1:4" x14ac:dyDescent="0.2">
      <c r="A402" t="s">
        <v>24</v>
      </c>
      <c r="B402">
        <v>23</v>
      </c>
      <c r="C402">
        <v>2436</v>
      </c>
      <c r="D402" t="str">
        <f t="shared" si="6"/>
        <v>Government / authority</v>
      </c>
    </row>
    <row r="403" spans="1:4" x14ac:dyDescent="0.2">
      <c r="A403" t="s">
        <v>24</v>
      </c>
      <c r="B403">
        <v>23</v>
      </c>
      <c r="C403">
        <v>6097</v>
      </c>
      <c r="D403" t="str">
        <f t="shared" si="6"/>
        <v>Government / authority</v>
      </c>
    </row>
    <row r="404" spans="1:4" x14ac:dyDescent="0.2">
      <c r="A404" t="s">
        <v>24</v>
      </c>
      <c r="B404">
        <v>23</v>
      </c>
      <c r="C404">
        <v>3075</v>
      </c>
      <c r="D404" t="str">
        <f t="shared" si="6"/>
        <v>Government / authority</v>
      </c>
    </row>
    <row r="405" spans="1:4" x14ac:dyDescent="0.2">
      <c r="A405" t="s">
        <v>24</v>
      </c>
      <c r="B405">
        <v>23</v>
      </c>
      <c r="C405">
        <v>4843</v>
      </c>
      <c r="D405" t="str">
        <f t="shared" si="6"/>
        <v>Government / authority</v>
      </c>
    </row>
    <row r="406" spans="1:4" x14ac:dyDescent="0.2">
      <c r="A406" t="s">
        <v>24</v>
      </c>
      <c r="B406">
        <v>23</v>
      </c>
      <c r="C406">
        <v>2442</v>
      </c>
      <c r="D406" t="str">
        <f t="shared" si="6"/>
        <v>Government / authority</v>
      </c>
    </row>
    <row r="407" spans="1:4" x14ac:dyDescent="0.2">
      <c r="A407" t="s">
        <v>24</v>
      </c>
      <c r="B407">
        <v>23</v>
      </c>
      <c r="C407">
        <v>2439</v>
      </c>
      <c r="D407" t="str">
        <f t="shared" si="6"/>
        <v>Government / authority</v>
      </c>
    </row>
    <row r="408" spans="1:4" x14ac:dyDescent="0.2">
      <c r="A408" t="s">
        <v>24</v>
      </c>
      <c r="B408">
        <v>23</v>
      </c>
      <c r="C408">
        <v>6407</v>
      </c>
      <c r="D408" t="str">
        <f t="shared" si="6"/>
        <v>Government / authority</v>
      </c>
    </row>
    <row r="409" spans="1:4" x14ac:dyDescent="0.2">
      <c r="A409" t="s">
        <v>24</v>
      </c>
      <c r="B409">
        <v>23</v>
      </c>
      <c r="C409">
        <v>3547</v>
      </c>
      <c r="D409" t="str">
        <f t="shared" si="6"/>
        <v>Government / authority</v>
      </c>
    </row>
    <row r="410" spans="1:4" x14ac:dyDescent="0.2">
      <c r="A410" t="s">
        <v>24</v>
      </c>
      <c r="B410">
        <v>23</v>
      </c>
      <c r="C410">
        <v>3088</v>
      </c>
      <c r="D410" t="str">
        <f t="shared" si="6"/>
        <v>Government / authority</v>
      </c>
    </row>
    <row r="411" spans="1:4" x14ac:dyDescent="0.2">
      <c r="A411" t="s">
        <v>24</v>
      </c>
      <c r="B411">
        <v>23</v>
      </c>
      <c r="C411">
        <v>2444</v>
      </c>
      <c r="D411" t="str">
        <f t="shared" si="6"/>
        <v>Government / authority</v>
      </c>
    </row>
    <row r="412" spans="1:4" x14ac:dyDescent="0.2">
      <c r="A412" t="s">
        <v>24</v>
      </c>
      <c r="B412">
        <v>23</v>
      </c>
      <c r="C412">
        <v>2438</v>
      </c>
      <c r="D412" t="str">
        <f t="shared" si="6"/>
        <v>Government / authority</v>
      </c>
    </row>
    <row r="413" spans="1:4" x14ac:dyDescent="0.2">
      <c r="A413" t="s">
        <v>24</v>
      </c>
      <c r="B413">
        <v>23</v>
      </c>
      <c r="C413">
        <v>2446</v>
      </c>
      <c r="D413" t="str">
        <f t="shared" si="6"/>
        <v>Government / authority</v>
      </c>
    </row>
    <row r="414" spans="1:4" x14ac:dyDescent="0.2">
      <c r="A414" t="s">
        <v>25</v>
      </c>
      <c r="B414">
        <v>23</v>
      </c>
      <c r="C414">
        <v>1712</v>
      </c>
      <c r="D414" t="str">
        <f t="shared" si="6"/>
        <v>Publicly listed company</v>
      </c>
    </row>
    <row r="415" spans="1:4" x14ac:dyDescent="0.2">
      <c r="A415" t="s">
        <v>25</v>
      </c>
      <c r="B415">
        <v>23</v>
      </c>
      <c r="C415">
        <v>5578</v>
      </c>
      <c r="D415" t="str">
        <f t="shared" si="6"/>
        <v>Publicly listed company</v>
      </c>
    </row>
    <row r="416" spans="1:4" x14ac:dyDescent="0.2">
      <c r="A416" t="s">
        <v>25</v>
      </c>
      <c r="B416">
        <v>23</v>
      </c>
      <c r="C416">
        <v>2111</v>
      </c>
      <c r="D416" t="str">
        <f t="shared" si="6"/>
        <v>Publicly listed company</v>
      </c>
    </row>
    <row r="417" spans="1:4" x14ac:dyDescent="0.2">
      <c r="A417" t="s">
        <v>25</v>
      </c>
      <c r="B417">
        <v>23</v>
      </c>
      <c r="C417">
        <v>3289</v>
      </c>
      <c r="D417" t="str">
        <f t="shared" si="6"/>
        <v>Publicly listed company</v>
      </c>
    </row>
    <row r="418" spans="1:4" x14ac:dyDescent="0.2">
      <c r="A418" t="s">
        <v>25</v>
      </c>
      <c r="B418">
        <v>23</v>
      </c>
      <c r="C418">
        <v>6538</v>
      </c>
      <c r="D418" t="str">
        <f t="shared" si="6"/>
        <v>Publicly listed company</v>
      </c>
    </row>
    <row r="419" spans="1:4" x14ac:dyDescent="0.2">
      <c r="A419" t="s">
        <v>25</v>
      </c>
      <c r="B419">
        <v>23</v>
      </c>
      <c r="C419">
        <v>6671</v>
      </c>
      <c r="D419" t="str">
        <f t="shared" si="6"/>
        <v>Publicly listed company</v>
      </c>
    </row>
    <row r="420" spans="1:4" x14ac:dyDescent="0.2">
      <c r="A420" t="s">
        <v>25</v>
      </c>
      <c r="B420">
        <v>23</v>
      </c>
      <c r="C420">
        <v>4883</v>
      </c>
      <c r="D420" t="str">
        <f t="shared" ref="D420:D483" si="7">_xlfn.XLOOKUP(A420,$E$2:$E$53,$F$2:$F$53,,1,)</f>
        <v>Publicly listed company</v>
      </c>
    </row>
    <row r="421" spans="1:4" x14ac:dyDescent="0.2">
      <c r="A421" t="s">
        <v>25</v>
      </c>
      <c r="B421">
        <v>23</v>
      </c>
      <c r="C421">
        <v>6364</v>
      </c>
      <c r="D421" t="str">
        <f t="shared" si="7"/>
        <v>Publicly listed company</v>
      </c>
    </row>
    <row r="422" spans="1:4" x14ac:dyDescent="0.2">
      <c r="A422" t="s">
        <v>25</v>
      </c>
      <c r="B422">
        <v>23</v>
      </c>
      <c r="C422">
        <v>2103</v>
      </c>
      <c r="D422" t="str">
        <f t="shared" si="7"/>
        <v>Publicly listed company</v>
      </c>
    </row>
    <row r="423" spans="1:4" x14ac:dyDescent="0.2">
      <c r="A423" t="s">
        <v>25</v>
      </c>
      <c r="B423">
        <v>23</v>
      </c>
      <c r="C423">
        <v>783</v>
      </c>
      <c r="D423" t="str">
        <f t="shared" si="7"/>
        <v>Publicly listed company</v>
      </c>
    </row>
    <row r="424" spans="1:4" x14ac:dyDescent="0.2">
      <c r="A424" t="s">
        <v>25</v>
      </c>
      <c r="B424">
        <v>23</v>
      </c>
      <c r="C424">
        <v>4282</v>
      </c>
      <c r="D424" t="str">
        <f t="shared" si="7"/>
        <v>Publicly listed company</v>
      </c>
    </row>
    <row r="425" spans="1:4" x14ac:dyDescent="0.2">
      <c r="A425" t="s">
        <v>25</v>
      </c>
      <c r="B425">
        <v>23</v>
      </c>
      <c r="C425">
        <v>2142</v>
      </c>
      <c r="D425" t="str">
        <f t="shared" si="7"/>
        <v>Publicly listed company</v>
      </c>
    </row>
    <row r="426" spans="1:4" x14ac:dyDescent="0.2">
      <c r="A426" t="s">
        <v>26</v>
      </c>
      <c r="B426">
        <v>22</v>
      </c>
      <c r="C426">
        <v>4790</v>
      </c>
      <c r="D426" t="str">
        <f t="shared" si="7"/>
        <v>Privately held company</v>
      </c>
    </row>
    <row r="427" spans="1:4" x14ac:dyDescent="0.2">
      <c r="A427" t="s">
        <v>26</v>
      </c>
      <c r="B427">
        <v>22</v>
      </c>
      <c r="C427">
        <v>70</v>
      </c>
      <c r="D427" t="str">
        <f t="shared" si="7"/>
        <v>Privately held company</v>
      </c>
    </row>
    <row r="428" spans="1:4" x14ac:dyDescent="0.2">
      <c r="A428" t="s">
        <v>26</v>
      </c>
      <c r="B428">
        <v>22</v>
      </c>
      <c r="C428">
        <v>62</v>
      </c>
      <c r="D428" t="str">
        <f t="shared" si="7"/>
        <v>Privately held company</v>
      </c>
    </row>
    <row r="429" spans="1:4" x14ac:dyDescent="0.2">
      <c r="A429" t="s">
        <v>26</v>
      </c>
      <c r="B429">
        <v>22</v>
      </c>
      <c r="C429">
        <v>73</v>
      </c>
      <c r="D429" t="str">
        <f t="shared" si="7"/>
        <v>Privately held company</v>
      </c>
    </row>
    <row r="430" spans="1:4" x14ac:dyDescent="0.2">
      <c r="A430" t="s">
        <v>26</v>
      </c>
      <c r="B430">
        <v>22</v>
      </c>
      <c r="C430">
        <v>3556</v>
      </c>
      <c r="D430" t="str">
        <f t="shared" si="7"/>
        <v>Privately held company</v>
      </c>
    </row>
    <row r="431" spans="1:4" x14ac:dyDescent="0.2">
      <c r="A431" t="s">
        <v>26</v>
      </c>
      <c r="B431">
        <v>22</v>
      </c>
      <c r="C431">
        <v>154</v>
      </c>
      <c r="D431" t="str">
        <f t="shared" si="7"/>
        <v>Privately held company</v>
      </c>
    </row>
    <row r="432" spans="1:4" x14ac:dyDescent="0.2">
      <c r="A432" t="s">
        <v>26</v>
      </c>
      <c r="B432">
        <v>22</v>
      </c>
      <c r="C432">
        <v>2068</v>
      </c>
      <c r="D432" t="str">
        <f t="shared" si="7"/>
        <v>Privately held company</v>
      </c>
    </row>
    <row r="433" spans="1:4" x14ac:dyDescent="0.2">
      <c r="A433" t="s">
        <v>26</v>
      </c>
      <c r="B433">
        <v>22</v>
      </c>
      <c r="C433">
        <v>2161</v>
      </c>
      <c r="D433" t="str">
        <f t="shared" si="7"/>
        <v>Privately held company</v>
      </c>
    </row>
    <row r="434" spans="1:4" x14ac:dyDescent="0.2">
      <c r="A434" t="s">
        <v>26</v>
      </c>
      <c r="B434">
        <v>22</v>
      </c>
      <c r="C434">
        <v>140</v>
      </c>
      <c r="D434" t="str">
        <f t="shared" si="7"/>
        <v>Privately held company</v>
      </c>
    </row>
    <row r="435" spans="1:4" x14ac:dyDescent="0.2">
      <c r="A435" t="s">
        <v>26</v>
      </c>
      <c r="B435">
        <v>22</v>
      </c>
      <c r="C435">
        <v>5888</v>
      </c>
      <c r="D435" t="str">
        <f t="shared" si="7"/>
        <v>Privately held company</v>
      </c>
    </row>
    <row r="436" spans="1:4" x14ac:dyDescent="0.2">
      <c r="A436" t="s">
        <v>26</v>
      </c>
      <c r="B436">
        <v>22</v>
      </c>
      <c r="C436">
        <v>2495</v>
      </c>
      <c r="D436" t="str">
        <f t="shared" si="7"/>
        <v>Privately held company</v>
      </c>
    </row>
    <row r="437" spans="1:4" x14ac:dyDescent="0.2">
      <c r="A437" t="s">
        <v>26</v>
      </c>
      <c r="B437">
        <v>22</v>
      </c>
      <c r="C437">
        <v>1209</v>
      </c>
      <c r="D437" t="str">
        <f t="shared" si="7"/>
        <v>Privately held company</v>
      </c>
    </row>
    <row r="438" spans="1:4" x14ac:dyDescent="0.2">
      <c r="A438" t="s">
        <v>27</v>
      </c>
      <c r="B438">
        <v>21</v>
      </c>
      <c r="C438">
        <v>1488</v>
      </c>
      <c r="D438" t="str">
        <f t="shared" si="7"/>
        <v>Government / authority</v>
      </c>
    </row>
    <row r="439" spans="1:4" x14ac:dyDescent="0.2">
      <c r="A439" t="s">
        <v>27</v>
      </c>
      <c r="B439">
        <v>21</v>
      </c>
      <c r="C439">
        <v>2174</v>
      </c>
      <c r="D439" t="str">
        <f t="shared" si="7"/>
        <v>Government / authority</v>
      </c>
    </row>
    <row r="440" spans="1:4" x14ac:dyDescent="0.2">
      <c r="A440" t="s">
        <v>27</v>
      </c>
      <c r="B440">
        <v>21</v>
      </c>
      <c r="C440">
        <v>2171</v>
      </c>
      <c r="D440" t="str">
        <f t="shared" si="7"/>
        <v>Government / authority</v>
      </c>
    </row>
    <row r="441" spans="1:4" x14ac:dyDescent="0.2">
      <c r="A441" t="s">
        <v>27</v>
      </c>
      <c r="B441">
        <v>21</v>
      </c>
      <c r="C441">
        <v>1185</v>
      </c>
      <c r="D441" t="str">
        <f t="shared" si="7"/>
        <v>Government / authority</v>
      </c>
    </row>
    <row r="442" spans="1:4" x14ac:dyDescent="0.2">
      <c r="A442" t="s">
        <v>27</v>
      </c>
      <c r="B442">
        <v>21</v>
      </c>
      <c r="C442">
        <v>3468</v>
      </c>
      <c r="D442" t="str">
        <f t="shared" si="7"/>
        <v>Government / authority</v>
      </c>
    </row>
    <row r="443" spans="1:4" x14ac:dyDescent="0.2">
      <c r="A443" t="s">
        <v>27</v>
      </c>
      <c r="B443">
        <v>21</v>
      </c>
      <c r="C443">
        <v>1486</v>
      </c>
      <c r="D443" t="str">
        <f t="shared" si="7"/>
        <v>Government / authority</v>
      </c>
    </row>
    <row r="444" spans="1:4" x14ac:dyDescent="0.2">
      <c r="A444" t="s">
        <v>27</v>
      </c>
      <c r="B444">
        <v>21</v>
      </c>
      <c r="C444">
        <v>2170</v>
      </c>
      <c r="D444" t="str">
        <f t="shared" si="7"/>
        <v>Government / authority</v>
      </c>
    </row>
    <row r="445" spans="1:4" x14ac:dyDescent="0.2">
      <c r="A445" t="s">
        <v>27</v>
      </c>
      <c r="B445">
        <v>21</v>
      </c>
      <c r="C445">
        <v>1487</v>
      </c>
      <c r="D445" t="str">
        <f t="shared" si="7"/>
        <v>Government / authority</v>
      </c>
    </row>
    <row r="446" spans="1:4" x14ac:dyDescent="0.2">
      <c r="A446" t="s">
        <v>27</v>
      </c>
      <c r="B446">
        <v>21</v>
      </c>
      <c r="C446">
        <v>3469</v>
      </c>
      <c r="D446" t="str">
        <f t="shared" si="7"/>
        <v>Government / authority</v>
      </c>
    </row>
    <row r="447" spans="1:4" x14ac:dyDescent="0.2">
      <c r="A447" t="s">
        <v>27</v>
      </c>
      <c r="B447">
        <v>21</v>
      </c>
      <c r="C447">
        <v>1485</v>
      </c>
      <c r="D447" t="str">
        <f t="shared" si="7"/>
        <v>Government / authority</v>
      </c>
    </row>
    <row r="448" spans="1:4" x14ac:dyDescent="0.2">
      <c r="A448" t="s">
        <v>27</v>
      </c>
      <c r="B448">
        <v>21</v>
      </c>
      <c r="C448">
        <v>2172</v>
      </c>
      <c r="D448" t="str">
        <f t="shared" si="7"/>
        <v>Government / authority</v>
      </c>
    </row>
    <row r="449" spans="1:4" x14ac:dyDescent="0.2">
      <c r="A449" t="s">
        <v>27</v>
      </c>
      <c r="B449">
        <v>21</v>
      </c>
      <c r="C449">
        <v>2789</v>
      </c>
      <c r="D449" t="str">
        <f t="shared" si="7"/>
        <v>Government / authority</v>
      </c>
    </row>
    <row r="450" spans="1:4" x14ac:dyDescent="0.2">
      <c r="A450" t="s">
        <v>27</v>
      </c>
      <c r="B450">
        <v>21</v>
      </c>
      <c r="C450">
        <v>2788</v>
      </c>
      <c r="D450" t="str">
        <f t="shared" si="7"/>
        <v>Government / authority</v>
      </c>
    </row>
    <row r="451" spans="1:4" x14ac:dyDescent="0.2">
      <c r="A451" t="s">
        <v>27</v>
      </c>
      <c r="B451">
        <v>21</v>
      </c>
      <c r="C451">
        <v>2179</v>
      </c>
      <c r="D451" t="str">
        <f t="shared" si="7"/>
        <v>Government / authority</v>
      </c>
    </row>
    <row r="452" spans="1:4" x14ac:dyDescent="0.2">
      <c r="A452" t="s">
        <v>27</v>
      </c>
      <c r="B452">
        <v>21</v>
      </c>
      <c r="C452">
        <v>2175</v>
      </c>
      <c r="D452" t="str">
        <f t="shared" si="7"/>
        <v>Government / authority</v>
      </c>
    </row>
    <row r="453" spans="1:4" x14ac:dyDescent="0.2">
      <c r="A453" t="s">
        <v>27</v>
      </c>
      <c r="B453">
        <v>21</v>
      </c>
      <c r="C453">
        <v>2169</v>
      </c>
      <c r="D453" t="str">
        <f t="shared" si="7"/>
        <v>Government / authority</v>
      </c>
    </row>
    <row r="454" spans="1:4" x14ac:dyDescent="0.2">
      <c r="A454" t="s">
        <v>27</v>
      </c>
      <c r="B454">
        <v>21</v>
      </c>
      <c r="C454">
        <v>2173</v>
      </c>
      <c r="D454" t="str">
        <f t="shared" si="7"/>
        <v>Government / authority</v>
      </c>
    </row>
    <row r="455" spans="1:4" x14ac:dyDescent="0.2">
      <c r="A455" t="s">
        <v>27</v>
      </c>
      <c r="B455">
        <v>21</v>
      </c>
      <c r="C455">
        <v>2176</v>
      </c>
      <c r="D455" t="str">
        <f t="shared" si="7"/>
        <v>Government / authority</v>
      </c>
    </row>
    <row r="456" spans="1:4" x14ac:dyDescent="0.2">
      <c r="A456" t="s">
        <v>27</v>
      </c>
      <c r="B456">
        <v>21</v>
      </c>
      <c r="C456">
        <v>2178</v>
      </c>
      <c r="D456" t="str">
        <f t="shared" si="7"/>
        <v>Government / authority</v>
      </c>
    </row>
    <row r="457" spans="1:4" x14ac:dyDescent="0.2">
      <c r="A457" t="s">
        <v>27</v>
      </c>
      <c r="B457">
        <v>21</v>
      </c>
      <c r="C457">
        <v>2580</v>
      </c>
      <c r="D457" t="str">
        <f t="shared" si="7"/>
        <v>Government / authority</v>
      </c>
    </row>
    <row r="458" spans="1:4" x14ac:dyDescent="0.2">
      <c r="A458" t="s">
        <v>27</v>
      </c>
      <c r="B458">
        <v>21</v>
      </c>
      <c r="C458">
        <v>1183</v>
      </c>
      <c r="D458" t="str">
        <f t="shared" si="7"/>
        <v>Government / authority</v>
      </c>
    </row>
    <row r="459" spans="1:4" x14ac:dyDescent="0.2">
      <c r="A459" t="s">
        <v>28</v>
      </c>
      <c r="B459">
        <v>21</v>
      </c>
      <c r="C459">
        <v>2497</v>
      </c>
      <c r="D459" t="str">
        <f t="shared" si="7"/>
        <v>Private equity–owned</v>
      </c>
    </row>
    <row r="460" spans="1:4" x14ac:dyDescent="0.2">
      <c r="A460" t="s">
        <v>28</v>
      </c>
      <c r="B460">
        <v>21</v>
      </c>
      <c r="C460">
        <v>2074</v>
      </c>
      <c r="D460" t="str">
        <f t="shared" si="7"/>
        <v>Private equity–owned</v>
      </c>
    </row>
    <row r="461" spans="1:4" x14ac:dyDescent="0.2">
      <c r="A461" t="s">
        <v>28</v>
      </c>
      <c r="B461">
        <v>21</v>
      </c>
      <c r="C461">
        <v>60</v>
      </c>
      <c r="D461" t="str">
        <f t="shared" si="7"/>
        <v>Private equity–owned</v>
      </c>
    </row>
    <row r="462" spans="1:4" x14ac:dyDescent="0.2">
      <c r="A462" t="s">
        <v>28</v>
      </c>
      <c r="B462">
        <v>21</v>
      </c>
      <c r="C462">
        <v>2504</v>
      </c>
      <c r="D462" t="str">
        <f t="shared" si="7"/>
        <v>Private equity–owned</v>
      </c>
    </row>
    <row r="463" spans="1:4" x14ac:dyDescent="0.2">
      <c r="A463" t="s">
        <v>28</v>
      </c>
      <c r="B463">
        <v>21</v>
      </c>
      <c r="C463">
        <v>79</v>
      </c>
      <c r="D463" t="str">
        <f t="shared" si="7"/>
        <v>Private equity–owned</v>
      </c>
    </row>
    <row r="464" spans="1:4" x14ac:dyDescent="0.2">
      <c r="A464" t="s">
        <v>28</v>
      </c>
      <c r="B464">
        <v>21</v>
      </c>
      <c r="C464">
        <v>2505</v>
      </c>
      <c r="D464" t="str">
        <f t="shared" si="7"/>
        <v>Private equity–owned</v>
      </c>
    </row>
    <row r="465" spans="1:4" x14ac:dyDescent="0.2">
      <c r="A465" t="s">
        <v>28</v>
      </c>
      <c r="B465">
        <v>21</v>
      </c>
      <c r="C465">
        <v>4840</v>
      </c>
      <c r="D465" t="str">
        <f t="shared" si="7"/>
        <v>Private equity–owned</v>
      </c>
    </row>
    <row r="466" spans="1:4" x14ac:dyDescent="0.2">
      <c r="A466" t="s">
        <v>28</v>
      </c>
      <c r="B466">
        <v>21</v>
      </c>
      <c r="C466">
        <v>1449</v>
      </c>
      <c r="D466" t="str">
        <f t="shared" si="7"/>
        <v>Private equity–owned</v>
      </c>
    </row>
    <row r="467" spans="1:4" x14ac:dyDescent="0.2">
      <c r="A467" t="s">
        <v>28</v>
      </c>
      <c r="B467">
        <v>21</v>
      </c>
      <c r="C467">
        <v>2073</v>
      </c>
      <c r="D467" t="str">
        <f t="shared" si="7"/>
        <v>Private equity–owned</v>
      </c>
    </row>
    <row r="468" spans="1:4" x14ac:dyDescent="0.2">
      <c r="A468" t="s">
        <v>28</v>
      </c>
      <c r="B468">
        <v>21</v>
      </c>
      <c r="C468">
        <v>2945</v>
      </c>
      <c r="D468" t="str">
        <f t="shared" si="7"/>
        <v>Private equity–owned</v>
      </c>
    </row>
    <row r="469" spans="1:4" x14ac:dyDescent="0.2">
      <c r="A469" t="s">
        <v>28</v>
      </c>
      <c r="B469">
        <v>21</v>
      </c>
      <c r="C469">
        <v>2496</v>
      </c>
      <c r="D469" t="str">
        <f t="shared" si="7"/>
        <v>Private equity–owned</v>
      </c>
    </row>
    <row r="470" spans="1:4" x14ac:dyDescent="0.2">
      <c r="A470" t="s">
        <v>29</v>
      </c>
      <c r="B470">
        <v>20</v>
      </c>
      <c r="C470">
        <v>2314</v>
      </c>
      <c r="D470" t="str">
        <f t="shared" si="7"/>
        <v>Government / authority</v>
      </c>
    </row>
    <row r="471" spans="1:4" x14ac:dyDescent="0.2">
      <c r="A471" t="s">
        <v>29</v>
      </c>
      <c r="B471">
        <v>20</v>
      </c>
      <c r="C471">
        <v>2185</v>
      </c>
      <c r="D471" t="str">
        <f t="shared" si="7"/>
        <v>Government / authority</v>
      </c>
    </row>
    <row r="472" spans="1:4" x14ac:dyDescent="0.2">
      <c r="A472" t="s">
        <v>29</v>
      </c>
      <c r="B472">
        <v>20</v>
      </c>
      <c r="C472">
        <v>3335</v>
      </c>
      <c r="D472" t="str">
        <f t="shared" si="7"/>
        <v>Government / authority</v>
      </c>
    </row>
    <row r="473" spans="1:4" x14ac:dyDescent="0.2">
      <c r="A473" t="s">
        <v>29</v>
      </c>
      <c r="B473">
        <v>20</v>
      </c>
      <c r="C473">
        <v>3333</v>
      </c>
      <c r="D473" t="str">
        <f t="shared" si="7"/>
        <v>Government / authority</v>
      </c>
    </row>
    <row r="474" spans="1:4" x14ac:dyDescent="0.2">
      <c r="A474" t="s">
        <v>29</v>
      </c>
      <c r="B474">
        <v>20</v>
      </c>
      <c r="C474">
        <v>3332</v>
      </c>
      <c r="D474" t="str">
        <f t="shared" si="7"/>
        <v>Government / authority</v>
      </c>
    </row>
    <row r="475" spans="1:4" x14ac:dyDescent="0.2">
      <c r="A475" t="s">
        <v>29</v>
      </c>
      <c r="B475">
        <v>20</v>
      </c>
      <c r="C475">
        <v>3334</v>
      </c>
      <c r="D475" t="str">
        <f t="shared" si="7"/>
        <v>Government / authority</v>
      </c>
    </row>
    <row r="476" spans="1:4" x14ac:dyDescent="0.2">
      <c r="A476" t="s">
        <v>29</v>
      </c>
      <c r="B476">
        <v>20</v>
      </c>
      <c r="C476">
        <v>3327</v>
      </c>
      <c r="D476" t="str">
        <f t="shared" si="7"/>
        <v>Government / authority</v>
      </c>
    </row>
    <row r="477" spans="1:4" x14ac:dyDescent="0.2">
      <c r="A477" t="s">
        <v>29</v>
      </c>
      <c r="B477">
        <v>20</v>
      </c>
      <c r="C477">
        <v>3328</v>
      </c>
      <c r="D477" t="str">
        <f t="shared" si="7"/>
        <v>Government / authority</v>
      </c>
    </row>
    <row r="478" spans="1:4" x14ac:dyDescent="0.2">
      <c r="A478" t="s">
        <v>29</v>
      </c>
      <c r="B478">
        <v>20</v>
      </c>
      <c r="C478">
        <v>3330</v>
      </c>
      <c r="D478" t="str">
        <f t="shared" si="7"/>
        <v>Government / authority</v>
      </c>
    </row>
    <row r="479" spans="1:4" x14ac:dyDescent="0.2">
      <c r="A479" t="s">
        <v>29</v>
      </c>
      <c r="B479">
        <v>20</v>
      </c>
      <c r="C479">
        <v>3331</v>
      </c>
      <c r="D479" t="str">
        <f t="shared" si="7"/>
        <v>Government / authority</v>
      </c>
    </row>
    <row r="480" spans="1:4" x14ac:dyDescent="0.2">
      <c r="A480" t="s">
        <v>30</v>
      </c>
      <c r="B480">
        <v>19</v>
      </c>
      <c r="C480">
        <v>6280</v>
      </c>
      <c r="D480" t="str">
        <f t="shared" si="7"/>
        <v>Privately held company</v>
      </c>
    </row>
    <row r="481" spans="1:4" x14ac:dyDescent="0.2">
      <c r="A481" t="s">
        <v>30</v>
      </c>
      <c r="B481">
        <v>19</v>
      </c>
      <c r="C481">
        <v>6226</v>
      </c>
      <c r="D481" t="str">
        <f t="shared" si="7"/>
        <v>Privately held company</v>
      </c>
    </row>
    <row r="482" spans="1:4" x14ac:dyDescent="0.2">
      <c r="A482" t="s">
        <v>30</v>
      </c>
      <c r="B482">
        <v>19</v>
      </c>
      <c r="C482">
        <v>6591</v>
      </c>
      <c r="D482" t="str">
        <f t="shared" si="7"/>
        <v>Privately held company</v>
      </c>
    </row>
    <row r="483" spans="1:4" x14ac:dyDescent="0.2">
      <c r="A483" t="s">
        <v>30</v>
      </c>
      <c r="B483">
        <v>19</v>
      </c>
      <c r="C483">
        <v>7166</v>
      </c>
      <c r="D483" t="str">
        <f t="shared" si="7"/>
        <v>Privately held company</v>
      </c>
    </row>
    <row r="484" spans="1:4" x14ac:dyDescent="0.2">
      <c r="A484" t="s">
        <v>30</v>
      </c>
      <c r="B484">
        <v>19</v>
      </c>
      <c r="C484">
        <v>5351</v>
      </c>
      <c r="D484" t="str">
        <f t="shared" ref="D484:D547" si="8">_xlfn.XLOOKUP(A484,$E$2:$E$53,$F$2:$F$53,,1,)</f>
        <v>Privately held company</v>
      </c>
    </row>
    <row r="485" spans="1:4" x14ac:dyDescent="0.2">
      <c r="A485" t="s">
        <v>30</v>
      </c>
      <c r="B485">
        <v>19</v>
      </c>
      <c r="C485">
        <v>5039</v>
      </c>
      <c r="D485" t="str">
        <f t="shared" si="8"/>
        <v>Privately held company</v>
      </c>
    </row>
    <row r="486" spans="1:4" x14ac:dyDescent="0.2">
      <c r="A486" t="s">
        <v>31</v>
      </c>
      <c r="B486">
        <v>19</v>
      </c>
      <c r="C486">
        <v>555</v>
      </c>
      <c r="D486" t="str">
        <f t="shared" si="8"/>
        <v>Privately held company</v>
      </c>
    </row>
    <row r="487" spans="1:4" x14ac:dyDescent="0.2">
      <c r="A487" t="s">
        <v>31</v>
      </c>
      <c r="B487">
        <v>19</v>
      </c>
      <c r="C487">
        <v>2032</v>
      </c>
      <c r="D487" t="str">
        <f t="shared" si="8"/>
        <v>Privately held company</v>
      </c>
    </row>
    <row r="488" spans="1:4" x14ac:dyDescent="0.2">
      <c r="A488" t="s">
        <v>31</v>
      </c>
      <c r="B488">
        <v>19</v>
      </c>
      <c r="C488">
        <v>3444</v>
      </c>
      <c r="D488" t="str">
        <f t="shared" si="8"/>
        <v>Privately held company</v>
      </c>
    </row>
    <row r="489" spans="1:4" x14ac:dyDescent="0.2">
      <c r="A489" t="s">
        <v>31</v>
      </c>
      <c r="B489">
        <v>19</v>
      </c>
      <c r="C489">
        <v>2354</v>
      </c>
      <c r="D489" t="str">
        <f t="shared" si="8"/>
        <v>Privately held company</v>
      </c>
    </row>
    <row r="490" spans="1:4" x14ac:dyDescent="0.2">
      <c r="A490" t="s">
        <v>31</v>
      </c>
      <c r="B490">
        <v>19</v>
      </c>
      <c r="C490">
        <v>6971</v>
      </c>
      <c r="D490" t="str">
        <f t="shared" si="8"/>
        <v>Privately held company</v>
      </c>
    </row>
    <row r="491" spans="1:4" x14ac:dyDescent="0.2">
      <c r="A491" t="s">
        <v>31</v>
      </c>
      <c r="B491">
        <v>19</v>
      </c>
      <c r="C491">
        <v>7046</v>
      </c>
      <c r="D491" t="str">
        <f t="shared" si="8"/>
        <v>Privately held company</v>
      </c>
    </row>
    <row r="492" spans="1:4" x14ac:dyDescent="0.2">
      <c r="A492" t="s">
        <v>31</v>
      </c>
      <c r="B492">
        <v>19</v>
      </c>
      <c r="C492">
        <v>1999</v>
      </c>
      <c r="D492" t="str">
        <f t="shared" si="8"/>
        <v>Privately held company</v>
      </c>
    </row>
    <row r="493" spans="1:4" x14ac:dyDescent="0.2">
      <c r="A493" t="s">
        <v>31</v>
      </c>
      <c r="B493">
        <v>19</v>
      </c>
      <c r="C493">
        <v>7042</v>
      </c>
      <c r="D493" t="str">
        <f t="shared" si="8"/>
        <v>Privately held company</v>
      </c>
    </row>
    <row r="494" spans="1:4" x14ac:dyDescent="0.2">
      <c r="A494" t="s">
        <v>31</v>
      </c>
      <c r="B494">
        <v>19</v>
      </c>
      <c r="C494">
        <v>3287</v>
      </c>
      <c r="D494" t="str">
        <f t="shared" si="8"/>
        <v>Privately held company</v>
      </c>
    </row>
    <row r="495" spans="1:4" x14ac:dyDescent="0.2">
      <c r="A495" t="s">
        <v>31</v>
      </c>
      <c r="B495">
        <v>19</v>
      </c>
      <c r="C495">
        <v>569</v>
      </c>
      <c r="D495" t="str">
        <f t="shared" si="8"/>
        <v>Privately held company</v>
      </c>
    </row>
    <row r="496" spans="1:4" x14ac:dyDescent="0.2">
      <c r="A496" t="s">
        <v>31</v>
      </c>
      <c r="B496">
        <v>19</v>
      </c>
      <c r="C496">
        <v>1983</v>
      </c>
      <c r="D496" t="str">
        <f t="shared" si="8"/>
        <v>Privately held company</v>
      </c>
    </row>
    <row r="497" spans="1:4" x14ac:dyDescent="0.2">
      <c r="A497" t="s">
        <v>31</v>
      </c>
      <c r="B497">
        <v>19</v>
      </c>
      <c r="C497">
        <v>654</v>
      </c>
      <c r="D497" t="str">
        <f t="shared" si="8"/>
        <v>Privately held company</v>
      </c>
    </row>
    <row r="498" spans="1:4" x14ac:dyDescent="0.2">
      <c r="A498" t="s">
        <v>31</v>
      </c>
      <c r="B498">
        <v>19</v>
      </c>
      <c r="C498">
        <v>580</v>
      </c>
      <c r="D498" t="str">
        <f t="shared" si="8"/>
        <v>Privately held company</v>
      </c>
    </row>
    <row r="499" spans="1:4" x14ac:dyDescent="0.2">
      <c r="A499" t="s">
        <v>31</v>
      </c>
      <c r="B499">
        <v>19</v>
      </c>
      <c r="C499">
        <v>613</v>
      </c>
      <c r="D499" t="str">
        <f t="shared" si="8"/>
        <v>Privately held company</v>
      </c>
    </row>
    <row r="500" spans="1:4" x14ac:dyDescent="0.2">
      <c r="A500" t="s">
        <v>31</v>
      </c>
      <c r="B500">
        <v>19</v>
      </c>
      <c r="C500">
        <v>542</v>
      </c>
      <c r="D500" t="str">
        <f t="shared" si="8"/>
        <v>Privately held company</v>
      </c>
    </row>
    <row r="501" spans="1:4" x14ac:dyDescent="0.2">
      <c r="A501" t="s">
        <v>32</v>
      </c>
      <c r="B501">
        <v>19</v>
      </c>
      <c r="C501">
        <v>5573</v>
      </c>
      <c r="D501" t="str">
        <f t="shared" si="8"/>
        <v>Privately held company</v>
      </c>
    </row>
    <row r="502" spans="1:4" x14ac:dyDescent="0.2">
      <c r="A502" t="s">
        <v>32</v>
      </c>
      <c r="B502">
        <v>19</v>
      </c>
      <c r="C502">
        <v>3572</v>
      </c>
      <c r="D502" t="str">
        <f t="shared" si="8"/>
        <v>Privately held company</v>
      </c>
    </row>
    <row r="503" spans="1:4" x14ac:dyDescent="0.2">
      <c r="A503" t="s">
        <v>32</v>
      </c>
      <c r="B503">
        <v>19</v>
      </c>
      <c r="C503">
        <v>5448</v>
      </c>
      <c r="D503" t="str">
        <f t="shared" si="8"/>
        <v>Privately held company</v>
      </c>
    </row>
    <row r="504" spans="1:4" x14ac:dyDescent="0.2">
      <c r="A504" t="s">
        <v>32</v>
      </c>
      <c r="B504">
        <v>19</v>
      </c>
      <c r="C504">
        <v>4338</v>
      </c>
      <c r="D504" t="str">
        <f t="shared" si="8"/>
        <v>Privately held company</v>
      </c>
    </row>
    <row r="505" spans="1:4" x14ac:dyDescent="0.2">
      <c r="A505" t="s">
        <v>32</v>
      </c>
      <c r="B505">
        <v>19</v>
      </c>
      <c r="C505">
        <v>5049</v>
      </c>
      <c r="D505" t="str">
        <f t="shared" si="8"/>
        <v>Privately held company</v>
      </c>
    </row>
    <row r="506" spans="1:4" x14ac:dyDescent="0.2">
      <c r="A506" t="s">
        <v>32</v>
      </c>
      <c r="B506">
        <v>19</v>
      </c>
      <c r="C506">
        <v>1471</v>
      </c>
      <c r="D506" t="str">
        <f t="shared" si="8"/>
        <v>Privately held company</v>
      </c>
    </row>
    <row r="507" spans="1:4" x14ac:dyDescent="0.2">
      <c r="A507" t="s">
        <v>32</v>
      </c>
      <c r="B507">
        <v>19</v>
      </c>
      <c r="C507">
        <v>4363</v>
      </c>
      <c r="D507" t="str">
        <f t="shared" si="8"/>
        <v>Privately held company</v>
      </c>
    </row>
    <row r="508" spans="1:4" x14ac:dyDescent="0.2">
      <c r="A508" t="s">
        <v>32</v>
      </c>
      <c r="B508">
        <v>19</v>
      </c>
      <c r="C508">
        <v>6411</v>
      </c>
      <c r="D508" t="str">
        <f t="shared" si="8"/>
        <v>Privately held company</v>
      </c>
    </row>
    <row r="509" spans="1:4" x14ac:dyDescent="0.2">
      <c r="A509" t="s">
        <v>33</v>
      </c>
      <c r="B509">
        <v>18</v>
      </c>
      <c r="C509">
        <v>6872</v>
      </c>
      <c r="D509" t="str">
        <f t="shared" si="8"/>
        <v>Non-profit</v>
      </c>
    </row>
    <row r="510" spans="1:4" x14ac:dyDescent="0.2">
      <c r="A510" t="s">
        <v>33</v>
      </c>
      <c r="B510">
        <v>18</v>
      </c>
      <c r="C510">
        <v>6811</v>
      </c>
      <c r="D510" t="str">
        <f t="shared" si="8"/>
        <v>Non-profit</v>
      </c>
    </row>
    <row r="511" spans="1:4" x14ac:dyDescent="0.2">
      <c r="A511" t="s">
        <v>33</v>
      </c>
      <c r="B511">
        <v>18</v>
      </c>
      <c r="C511">
        <v>6548</v>
      </c>
      <c r="D511" t="str">
        <f t="shared" si="8"/>
        <v>Non-profit</v>
      </c>
    </row>
    <row r="512" spans="1:4" x14ac:dyDescent="0.2">
      <c r="A512" t="s">
        <v>33</v>
      </c>
      <c r="B512">
        <v>18</v>
      </c>
      <c r="C512">
        <v>6663</v>
      </c>
      <c r="D512" t="str">
        <f t="shared" si="8"/>
        <v>Non-profit</v>
      </c>
    </row>
    <row r="513" spans="1:4" x14ac:dyDescent="0.2">
      <c r="A513" t="s">
        <v>33</v>
      </c>
      <c r="B513">
        <v>18</v>
      </c>
      <c r="C513">
        <v>6816</v>
      </c>
      <c r="D513" t="str">
        <f t="shared" si="8"/>
        <v>Non-profit</v>
      </c>
    </row>
    <row r="514" spans="1:4" x14ac:dyDescent="0.2">
      <c r="A514" t="s">
        <v>33</v>
      </c>
      <c r="B514">
        <v>18</v>
      </c>
      <c r="C514">
        <v>6666</v>
      </c>
      <c r="D514" t="str">
        <f t="shared" si="8"/>
        <v>Non-profit</v>
      </c>
    </row>
    <row r="515" spans="1:4" x14ac:dyDescent="0.2">
      <c r="A515" t="s">
        <v>33</v>
      </c>
      <c r="B515">
        <v>18</v>
      </c>
      <c r="C515">
        <v>5542</v>
      </c>
      <c r="D515" t="str">
        <f t="shared" si="8"/>
        <v>Non-profit</v>
      </c>
    </row>
    <row r="516" spans="1:4" x14ac:dyDescent="0.2">
      <c r="A516" t="s">
        <v>33</v>
      </c>
      <c r="B516">
        <v>18</v>
      </c>
      <c r="C516">
        <v>5602</v>
      </c>
      <c r="D516" t="str">
        <f t="shared" si="8"/>
        <v>Non-profit</v>
      </c>
    </row>
    <row r="517" spans="1:4" x14ac:dyDescent="0.2">
      <c r="A517" t="s">
        <v>33</v>
      </c>
      <c r="B517">
        <v>18</v>
      </c>
      <c r="C517">
        <v>7082</v>
      </c>
      <c r="D517" t="str">
        <f t="shared" si="8"/>
        <v>Non-profit</v>
      </c>
    </row>
    <row r="518" spans="1:4" x14ac:dyDescent="0.2">
      <c r="A518" t="s">
        <v>33</v>
      </c>
      <c r="B518">
        <v>18</v>
      </c>
      <c r="C518">
        <v>6859</v>
      </c>
      <c r="D518" t="str">
        <f t="shared" si="8"/>
        <v>Non-profit</v>
      </c>
    </row>
    <row r="519" spans="1:4" x14ac:dyDescent="0.2">
      <c r="A519" t="s">
        <v>33</v>
      </c>
      <c r="B519">
        <v>18</v>
      </c>
      <c r="C519">
        <v>6270</v>
      </c>
      <c r="D519" t="str">
        <f t="shared" si="8"/>
        <v>Non-profit</v>
      </c>
    </row>
    <row r="520" spans="1:4" x14ac:dyDescent="0.2">
      <c r="A520" t="s">
        <v>34</v>
      </c>
      <c r="B520">
        <v>18</v>
      </c>
      <c r="C520">
        <v>5267</v>
      </c>
      <c r="D520" t="str">
        <f t="shared" si="8"/>
        <v>Privately held company</v>
      </c>
    </row>
    <row r="521" spans="1:4" x14ac:dyDescent="0.2">
      <c r="A521" t="s">
        <v>34</v>
      </c>
      <c r="B521">
        <v>18</v>
      </c>
      <c r="C521">
        <v>5284</v>
      </c>
      <c r="D521" t="str">
        <f t="shared" si="8"/>
        <v>Privately held company</v>
      </c>
    </row>
    <row r="522" spans="1:4" x14ac:dyDescent="0.2">
      <c r="A522" t="s">
        <v>34</v>
      </c>
      <c r="B522">
        <v>18</v>
      </c>
      <c r="C522">
        <v>3138</v>
      </c>
      <c r="D522" t="str">
        <f t="shared" si="8"/>
        <v>Privately held company</v>
      </c>
    </row>
    <row r="523" spans="1:4" x14ac:dyDescent="0.2">
      <c r="A523" t="s">
        <v>34</v>
      </c>
      <c r="B523">
        <v>18</v>
      </c>
      <c r="C523">
        <v>2857</v>
      </c>
      <c r="D523" t="str">
        <f t="shared" si="8"/>
        <v>Privately held company</v>
      </c>
    </row>
    <row r="524" spans="1:4" x14ac:dyDescent="0.2">
      <c r="A524" t="s">
        <v>34</v>
      </c>
      <c r="B524">
        <v>18</v>
      </c>
      <c r="C524">
        <v>5266</v>
      </c>
      <c r="D524" t="str">
        <f t="shared" si="8"/>
        <v>Privately held company</v>
      </c>
    </row>
    <row r="525" spans="1:4" x14ac:dyDescent="0.2">
      <c r="A525" t="s">
        <v>35</v>
      </c>
      <c r="B525">
        <v>18</v>
      </c>
      <c r="C525">
        <v>841</v>
      </c>
      <c r="D525" t="str">
        <f t="shared" si="8"/>
        <v>Government / authority</v>
      </c>
    </row>
    <row r="526" spans="1:4" x14ac:dyDescent="0.2">
      <c r="A526" t="s">
        <v>35</v>
      </c>
      <c r="B526">
        <v>18</v>
      </c>
      <c r="C526">
        <v>835</v>
      </c>
      <c r="D526" t="str">
        <f t="shared" si="8"/>
        <v>Government / authority</v>
      </c>
    </row>
    <row r="527" spans="1:4" x14ac:dyDescent="0.2">
      <c r="A527" t="s">
        <v>35</v>
      </c>
      <c r="B527">
        <v>18</v>
      </c>
      <c r="C527">
        <v>830</v>
      </c>
      <c r="D527" t="str">
        <f t="shared" si="8"/>
        <v>Government / authority</v>
      </c>
    </row>
    <row r="528" spans="1:4" x14ac:dyDescent="0.2">
      <c r="A528" t="s">
        <v>35</v>
      </c>
      <c r="B528">
        <v>18</v>
      </c>
      <c r="C528">
        <v>838</v>
      </c>
      <c r="D528" t="str">
        <f t="shared" si="8"/>
        <v>Government / authority</v>
      </c>
    </row>
    <row r="529" spans="1:4" x14ac:dyDescent="0.2">
      <c r="A529" t="s">
        <v>35</v>
      </c>
      <c r="B529">
        <v>18</v>
      </c>
      <c r="C529">
        <v>833</v>
      </c>
      <c r="D529" t="str">
        <f t="shared" si="8"/>
        <v>Government / authority</v>
      </c>
    </row>
    <row r="530" spans="1:4" x14ac:dyDescent="0.2">
      <c r="A530" t="s">
        <v>35</v>
      </c>
      <c r="B530">
        <v>18</v>
      </c>
      <c r="C530">
        <v>837</v>
      </c>
      <c r="D530" t="str">
        <f t="shared" si="8"/>
        <v>Government / authority</v>
      </c>
    </row>
    <row r="531" spans="1:4" x14ac:dyDescent="0.2">
      <c r="A531" t="s">
        <v>35</v>
      </c>
      <c r="B531">
        <v>18</v>
      </c>
      <c r="C531">
        <v>834</v>
      </c>
      <c r="D531" t="str">
        <f t="shared" si="8"/>
        <v>Government / authority</v>
      </c>
    </row>
    <row r="532" spans="1:4" x14ac:dyDescent="0.2">
      <c r="A532" t="s">
        <v>35</v>
      </c>
      <c r="B532">
        <v>18</v>
      </c>
      <c r="C532">
        <v>4579</v>
      </c>
      <c r="D532" t="str">
        <f t="shared" si="8"/>
        <v>Government / authority</v>
      </c>
    </row>
    <row r="533" spans="1:4" x14ac:dyDescent="0.2">
      <c r="A533" t="s">
        <v>35</v>
      </c>
      <c r="B533">
        <v>18</v>
      </c>
      <c r="C533">
        <v>5959</v>
      </c>
      <c r="D533" t="str">
        <f t="shared" si="8"/>
        <v>Government / authority</v>
      </c>
    </row>
    <row r="534" spans="1:4" x14ac:dyDescent="0.2">
      <c r="A534" t="s">
        <v>35</v>
      </c>
      <c r="B534">
        <v>18</v>
      </c>
      <c r="C534">
        <v>843</v>
      </c>
      <c r="D534" t="str">
        <f t="shared" si="8"/>
        <v>Government / authority</v>
      </c>
    </row>
    <row r="535" spans="1:4" x14ac:dyDescent="0.2">
      <c r="A535" t="s">
        <v>35</v>
      </c>
      <c r="B535">
        <v>18</v>
      </c>
      <c r="C535">
        <v>845</v>
      </c>
      <c r="D535" t="str">
        <f t="shared" si="8"/>
        <v>Government / authority</v>
      </c>
    </row>
    <row r="536" spans="1:4" x14ac:dyDescent="0.2">
      <c r="A536" t="s">
        <v>35</v>
      </c>
      <c r="B536">
        <v>18</v>
      </c>
      <c r="C536">
        <v>840</v>
      </c>
      <c r="D536" t="str">
        <f t="shared" si="8"/>
        <v>Government / authority</v>
      </c>
    </row>
    <row r="537" spans="1:4" x14ac:dyDescent="0.2">
      <c r="A537" t="s">
        <v>35</v>
      </c>
      <c r="B537">
        <v>18</v>
      </c>
      <c r="C537">
        <v>832</v>
      </c>
      <c r="D537" t="str">
        <f t="shared" si="8"/>
        <v>Government / authority</v>
      </c>
    </row>
    <row r="538" spans="1:4" x14ac:dyDescent="0.2">
      <c r="A538" t="s">
        <v>35</v>
      </c>
      <c r="B538">
        <v>18</v>
      </c>
      <c r="C538">
        <v>839</v>
      </c>
      <c r="D538" t="str">
        <f t="shared" si="8"/>
        <v>Government / authority</v>
      </c>
    </row>
    <row r="539" spans="1:4" x14ac:dyDescent="0.2">
      <c r="A539" t="s">
        <v>35</v>
      </c>
      <c r="B539">
        <v>18</v>
      </c>
      <c r="C539">
        <v>831</v>
      </c>
      <c r="D539" t="str">
        <f t="shared" si="8"/>
        <v>Government / authority</v>
      </c>
    </row>
    <row r="540" spans="1:4" x14ac:dyDescent="0.2">
      <c r="A540" t="s">
        <v>35</v>
      </c>
      <c r="B540">
        <v>18</v>
      </c>
      <c r="C540">
        <v>836</v>
      </c>
      <c r="D540" t="str">
        <f t="shared" si="8"/>
        <v>Government / authority</v>
      </c>
    </row>
    <row r="541" spans="1:4" x14ac:dyDescent="0.2">
      <c r="A541" t="s">
        <v>35</v>
      </c>
      <c r="B541">
        <v>18</v>
      </c>
      <c r="C541">
        <v>842</v>
      </c>
      <c r="D541" t="str">
        <f t="shared" si="8"/>
        <v>Government / authority</v>
      </c>
    </row>
    <row r="542" spans="1:4" x14ac:dyDescent="0.2">
      <c r="A542" t="s">
        <v>35</v>
      </c>
      <c r="B542">
        <v>18</v>
      </c>
      <c r="C542">
        <v>829</v>
      </c>
      <c r="D542" t="str">
        <f t="shared" si="8"/>
        <v>Government / authority</v>
      </c>
    </row>
    <row r="543" spans="1:4" x14ac:dyDescent="0.2">
      <c r="A543" t="s">
        <v>36</v>
      </c>
      <c r="B543">
        <v>17</v>
      </c>
      <c r="C543">
        <v>6958</v>
      </c>
      <c r="D543" t="str">
        <f t="shared" si="8"/>
        <v>Private equity–owned</v>
      </c>
    </row>
    <row r="544" spans="1:4" x14ac:dyDescent="0.2">
      <c r="A544" t="s">
        <v>36</v>
      </c>
      <c r="B544">
        <v>17</v>
      </c>
      <c r="C544">
        <v>6406</v>
      </c>
      <c r="D544" t="str">
        <f t="shared" si="8"/>
        <v>Private equity–owned</v>
      </c>
    </row>
    <row r="545" spans="1:4" x14ac:dyDescent="0.2">
      <c r="A545" t="s">
        <v>36</v>
      </c>
      <c r="B545">
        <v>17</v>
      </c>
      <c r="C545">
        <v>6091</v>
      </c>
      <c r="D545" t="str">
        <f t="shared" si="8"/>
        <v>Private equity–owned</v>
      </c>
    </row>
    <row r="546" spans="1:4" x14ac:dyDescent="0.2">
      <c r="A546" t="s">
        <v>36</v>
      </c>
      <c r="B546">
        <v>17</v>
      </c>
      <c r="C546">
        <v>7140</v>
      </c>
      <c r="D546" t="str">
        <f t="shared" si="8"/>
        <v>Private equity–owned</v>
      </c>
    </row>
    <row r="547" spans="1:4" x14ac:dyDescent="0.2">
      <c r="A547" t="s">
        <v>36</v>
      </c>
      <c r="B547">
        <v>17</v>
      </c>
      <c r="C547">
        <v>6483</v>
      </c>
      <c r="D547" t="str">
        <f t="shared" si="8"/>
        <v>Private equity–owned</v>
      </c>
    </row>
    <row r="548" spans="1:4" x14ac:dyDescent="0.2">
      <c r="A548" t="s">
        <v>36</v>
      </c>
      <c r="B548">
        <v>17</v>
      </c>
      <c r="C548">
        <v>7279</v>
      </c>
      <c r="D548" t="str">
        <f t="shared" ref="D548:D611" si="9">_xlfn.XLOOKUP(A548,$E$2:$E$53,$F$2:$F$53,,1,)</f>
        <v>Private equity–owned</v>
      </c>
    </row>
    <row r="549" spans="1:4" x14ac:dyDescent="0.2">
      <c r="A549" t="s">
        <v>36</v>
      </c>
      <c r="B549">
        <v>17</v>
      </c>
      <c r="C549">
        <v>5824</v>
      </c>
      <c r="D549" t="str">
        <f t="shared" si="9"/>
        <v>Private equity–owned</v>
      </c>
    </row>
    <row r="550" spans="1:4" x14ac:dyDescent="0.2">
      <c r="A550" t="s">
        <v>37</v>
      </c>
      <c r="B550">
        <v>17</v>
      </c>
      <c r="C550">
        <v>6115</v>
      </c>
      <c r="D550" t="str">
        <f t="shared" si="9"/>
        <v>Private equity–owned</v>
      </c>
    </row>
    <row r="551" spans="1:4" x14ac:dyDescent="0.2">
      <c r="A551" t="s">
        <v>37</v>
      </c>
      <c r="B551">
        <v>17</v>
      </c>
      <c r="C551">
        <v>5191</v>
      </c>
      <c r="D551" t="str">
        <f t="shared" si="9"/>
        <v>Private equity–owned</v>
      </c>
    </row>
    <row r="552" spans="1:4" x14ac:dyDescent="0.2">
      <c r="A552" t="s">
        <v>37</v>
      </c>
      <c r="B552">
        <v>17</v>
      </c>
      <c r="C552">
        <v>5122</v>
      </c>
      <c r="D552" t="str">
        <f t="shared" si="9"/>
        <v>Private equity–owned</v>
      </c>
    </row>
    <row r="553" spans="1:4" x14ac:dyDescent="0.2">
      <c r="A553" t="s">
        <v>37</v>
      </c>
      <c r="B553">
        <v>17</v>
      </c>
      <c r="C553">
        <v>5258</v>
      </c>
      <c r="D553" t="str">
        <f t="shared" si="9"/>
        <v>Private equity–owned</v>
      </c>
    </row>
    <row r="554" spans="1:4" x14ac:dyDescent="0.2">
      <c r="A554" t="s">
        <v>37</v>
      </c>
      <c r="B554">
        <v>17</v>
      </c>
      <c r="C554">
        <v>4940</v>
      </c>
      <c r="D554" t="str">
        <f t="shared" si="9"/>
        <v>Private equity–owned</v>
      </c>
    </row>
    <row r="555" spans="1:4" x14ac:dyDescent="0.2">
      <c r="A555" t="s">
        <v>38</v>
      </c>
      <c r="B555">
        <v>17</v>
      </c>
      <c r="C555">
        <v>5680</v>
      </c>
      <c r="D555" t="str">
        <f t="shared" si="9"/>
        <v>Privately held company</v>
      </c>
    </row>
    <row r="556" spans="1:4" x14ac:dyDescent="0.2">
      <c r="A556" t="s">
        <v>38</v>
      </c>
      <c r="B556">
        <v>17</v>
      </c>
      <c r="C556">
        <v>6677</v>
      </c>
      <c r="D556" t="str">
        <f t="shared" si="9"/>
        <v>Privately held company</v>
      </c>
    </row>
    <row r="557" spans="1:4" x14ac:dyDescent="0.2">
      <c r="A557" t="s">
        <v>38</v>
      </c>
      <c r="B557">
        <v>17</v>
      </c>
      <c r="C557">
        <v>4622</v>
      </c>
      <c r="D557" t="str">
        <f t="shared" si="9"/>
        <v>Privately held company</v>
      </c>
    </row>
    <row r="558" spans="1:4" x14ac:dyDescent="0.2">
      <c r="A558" t="s">
        <v>38</v>
      </c>
      <c r="B558">
        <v>17</v>
      </c>
      <c r="C558">
        <v>4348</v>
      </c>
      <c r="D558" t="str">
        <f t="shared" si="9"/>
        <v>Privately held company</v>
      </c>
    </row>
    <row r="559" spans="1:4" x14ac:dyDescent="0.2">
      <c r="A559" t="s">
        <v>38</v>
      </c>
      <c r="B559">
        <v>17</v>
      </c>
      <c r="C559">
        <v>6643</v>
      </c>
      <c r="D559" t="str">
        <f t="shared" si="9"/>
        <v>Privately held company</v>
      </c>
    </row>
    <row r="560" spans="1:4" x14ac:dyDescent="0.2">
      <c r="A560" t="s">
        <v>38</v>
      </c>
      <c r="B560">
        <v>17</v>
      </c>
      <c r="C560">
        <v>7110</v>
      </c>
      <c r="D560" t="str">
        <f t="shared" si="9"/>
        <v>Privately held company</v>
      </c>
    </row>
    <row r="561" spans="1:4" x14ac:dyDescent="0.2">
      <c r="A561" t="s">
        <v>38</v>
      </c>
      <c r="B561">
        <v>17</v>
      </c>
      <c r="C561">
        <v>856</v>
      </c>
      <c r="D561" t="str">
        <f t="shared" si="9"/>
        <v>Privately held company</v>
      </c>
    </row>
    <row r="562" spans="1:4" x14ac:dyDescent="0.2">
      <c r="A562" t="s">
        <v>38</v>
      </c>
      <c r="B562">
        <v>17</v>
      </c>
      <c r="C562">
        <v>857</v>
      </c>
      <c r="D562" t="str">
        <f t="shared" si="9"/>
        <v>Privately held company</v>
      </c>
    </row>
    <row r="563" spans="1:4" x14ac:dyDescent="0.2">
      <c r="A563" t="s">
        <v>38</v>
      </c>
      <c r="B563">
        <v>17</v>
      </c>
      <c r="C563">
        <v>6991</v>
      </c>
      <c r="D563" t="str">
        <f t="shared" si="9"/>
        <v>Privately held company</v>
      </c>
    </row>
    <row r="564" spans="1:4" x14ac:dyDescent="0.2">
      <c r="A564" t="s">
        <v>39</v>
      </c>
      <c r="B564">
        <v>16</v>
      </c>
      <c r="C564">
        <v>589</v>
      </c>
      <c r="D564" t="str">
        <f t="shared" si="9"/>
        <v>Government / authority</v>
      </c>
    </row>
    <row r="565" spans="1:4" x14ac:dyDescent="0.2">
      <c r="A565" t="s">
        <v>39</v>
      </c>
      <c r="B565">
        <v>16</v>
      </c>
      <c r="C565">
        <v>590</v>
      </c>
      <c r="D565" t="str">
        <f t="shared" si="9"/>
        <v>Government / authority</v>
      </c>
    </row>
    <row r="566" spans="1:4" x14ac:dyDescent="0.2">
      <c r="A566" t="s">
        <v>39</v>
      </c>
      <c r="B566">
        <v>16</v>
      </c>
      <c r="C566">
        <v>591</v>
      </c>
      <c r="D566" t="str">
        <f t="shared" si="9"/>
        <v>Government / authority</v>
      </c>
    </row>
    <row r="567" spans="1:4" x14ac:dyDescent="0.2">
      <c r="A567" t="s">
        <v>39</v>
      </c>
      <c r="B567">
        <v>16</v>
      </c>
      <c r="C567">
        <v>592</v>
      </c>
      <c r="D567" t="str">
        <f t="shared" si="9"/>
        <v>Government / authority</v>
      </c>
    </row>
    <row r="568" spans="1:4" x14ac:dyDescent="0.2">
      <c r="A568" t="s">
        <v>39</v>
      </c>
      <c r="B568">
        <v>16</v>
      </c>
      <c r="C568">
        <v>593</v>
      </c>
      <c r="D568" t="str">
        <f t="shared" si="9"/>
        <v>Government / authority</v>
      </c>
    </row>
    <row r="569" spans="1:4" x14ac:dyDescent="0.2">
      <c r="A569" t="s">
        <v>39</v>
      </c>
      <c r="B569">
        <v>16</v>
      </c>
      <c r="C569">
        <v>594</v>
      </c>
      <c r="D569" t="str">
        <f t="shared" si="9"/>
        <v>Government / authority</v>
      </c>
    </row>
    <row r="570" spans="1:4" x14ac:dyDescent="0.2">
      <c r="A570" t="s">
        <v>39</v>
      </c>
      <c r="B570">
        <v>16</v>
      </c>
      <c r="C570">
        <v>6265</v>
      </c>
      <c r="D570" t="str">
        <f t="shared" si="9"/>
        <v>Government / authority</v>
      </c>
    </row>
    <row r="571" spans="1:4" x14ac:dyDescent="0.2">
      <c r="A571" t="s">
        <v>39</v>
      </c>
      <c r="B571">
        <v>16</v>
      </c>
      <c r="C571">
        <v>6795</v>
      </c>
      <c r="D571" t="str">
        <f t="shared" si="9"/>
        <v>Government / authority</v>
      </c>
    </row>
    <row r="572" spans="1:4" x14ac:dyDescent="0.2">
      <c r="A572" t="s">
        <v>39</v>
      </c>
      <c r="B572">
        <v>16</v>
      </c>
      <c r="C572">
        <v>6796</v>
      </c>
      <c r="D572" t="str">
        <f t="shared" si="9"/>
        <v>Government / authority</v>
      </c>
    </row>
    <row r="573" spans="1:4" x14ac:dyDescent="0.2">
      <c r="A573" t="s">
        <v>39</v>
      </c>
      <c r="B573">
        <v>16</v>
      </c>
      <c r="C573">
        <v>6797</v>
      </c>
      <c r="D573" t="str">
        <f t="shared" si="9"/>
        <v>Government / authority</v>
      </c>
    </row>
    <row r="574" spans="1:4" x14ac:dyDescent="0.2">
      <c r="A574" t="s">
        <v>39</v>
      </c>
      <c r="B574">
        <v>16</v>
      </c>
      <c r="C574">
        <v>6798</v>
      </c>
      <c r="D574" t="str">
        <f t="shared" si="9"/>
        <v>Government / authority</v>
      </c>
    </row>
    <row r="575" spans="1:4" x14ac:dyDescent="0.2">
      <c r="A575" t="s">
        <v>40</v>
      </c>
      <c r="B575">
        <v>16</v>
      </c>
      <c r="C575">
        <v>1267</v>
      </c>
      <c r="D575" t="str">
        <f t="shared" si="9"/>
        <v>Government / authority</v>
      </c>
    </row>
    <row r="576" spans="1:4" x14ac:dyDescent="0.2">
      <c r="A576" t="s">
        <v>40</v>
      </c>
      <c r="B576">
        <v>16</v>
      </c>
      <c r="C576">
        <v>981</v>
      </c>
      <c r="D576" t="str">
        <f t="shared" si="9"/>
        <v>Government / authority</v>
      </c>
    </row>
    <row r="577" spans="1:4" x14ac:dyDescent="0.2">
      <c r="A577" t="s">
        <v>40</v>
      </c>
      <c r="B577">
        <v>16</v>
      </c>
      <c r="C577">
        <v>961</v>
      </c>
      <c r="D577" t="str">
        <f t="shared" si="9"/>
        <v>Government / authority</v>
      </c>
    </row>
    <row r="578" spans="1:4" x14ac:dyDescent="0.2">
      <c r="A578" t="s">
        <v>41</v>
      </c>
      <c r="B578">
        <v>14</v>
      </c>
      <c r="C578">
        <v>3011</v>
      </c>
      <c r="D578" t="str">
        <f t="shared" si="9"/>
        <v>Privately held company</v>
      </c>
    </row>
    <row r="579" spans="1:4" x14ac:dyDescent="0.2">
      <c r="A579" t="s">
        <v>41</v>
      </c>
      <c r="B579">
        <v>14</v>
      </c>
      <c r="C579">
        <v>5292</v>
      </c>
      <c r="D579" t="str">
        <f t="shared" si="9"/>
        <v>Privately held company</v>
      </c>
    </row>
    <row r="580" spans="1:4" x14ac:dyDescent="0.2">
      <c r="A580" t="s">
        <v>41</v>
      </c>
      <c r="B580">
        <v>14</v>
      </c>
      <c r="C580">
        <v>5018</v>
      </c>
      <c r="D580" t="str">
        <f t="shared" si="9"/>
        <v>Privately held company</v>
      </c>
    </row>
    <row r="581" spans="1:4" x14ac:dyDescent="0.2">
      <c r="A581" t="s">
        <v>41</v>
      </c>
      <c r="B581">
        <v>14</v>
      </c>
      <c r="C581">
        <v>5460</v>
      </c>
      <c r="D581" t="str">
        <f t="shared" si="9"/>
        <v>Privately held company</v>
      </c>
    </row>
    <row r="582" spans="1:4" x14ac:dyDescent="0.2">
      <c r="A582" t="s">
        <v>41</v>
      </c>
      <c r="B582">
        <v>14</v>
      </c>
      <c r="C582">
        <v>3249</v>
      </c>
      <c r="D582" t="str">
        <f t="shared" si="9"/>
        <v>Privately held company</v>
      </c>
    </row>
    <row r="583" spans="1:4" x14ac:dyDescent="0.2">
      <c r="A583" t="s">
        <v>42</v>
      </c>
      <c r="B583">
        <v>14</v>
      </c>
      <c r="C583">
        <v>7247</v>
      </c>
      <c r="D583" t="str">
        <f t="shared" si="9"/>
        <v>Government / authority</v>
      </c>
    </row>
    <row r="584" spans="1:4" x14ac:dyDescent="0.2">
      <c r="A584" t="s">
        <v>42</v>
      </c>
      <c r="B584">
        <v>14</v>
      </c>
      <c r="C584">
        <v>4698</v>
      </c>
      <c r="D584" t="str">
        <f t="shared" si="9"/>
        <v>Government / authority</v>
      </c>
    </row>
    <row r="585" spans="1:4" x14ac:dyDescent="0.2">
      <c r="A585" t="s">
        <v>42</v>
      </c>
      <c r="B585">
        <v>14</v>
      </c>
      <c r="C585">
        <v>3217</v>
      </c>
      <c r="D585" t="str">
        <f t="shared" si="9"/>
        <v>Government / authority</v>
      </c>
    </row>
    <row r="586" spans="1:4" x14ac:dyDescent="0.2">
      <c r="A586" t="s">
        <v>42</v>
      </c>
      <c r="B586">
        <v>14</v>
      </c>
      <c r="C586">
        <v>5892</v>
      </c>
      <c r="D586" t="str">
        <f t="shared" si="9"/>
        <v>Government / authority</v>
      </c>
    </row>
    <row r="587" spans="1:4" x14ac:dyDescent="0.2">
      <c r="A587" t="s">
        <v>42</v>
      </c>
      <c r="B587">
        <v>14</v>
      </c>
      <c r="C587">
        <v>6973</v>
      </c>
      <c r="D587" t="str">
        <f t="shared" si="9"/>
        <v>Government / authority</v>
      </c>
    </row>
    <row r="588" spans="1:4" x14ac:dyDescent="0.2">
      <c r="A588" t="s">
        <v>42</v>
      </c>
      <c r="B588">
        <v>14</v>
      </c>
      <c r="C588">
        <v>5477</v>
      </c>
      <c r="D588" t="str">
        <f t="shared" si="9"/>
        <v>Government / authority</v>
      </c>
    </row>
    <row r="589" spans="1:4" x14ac:dyDescent="0.2">
      <c r="A589" t="s">
        <v>42</v>
      </c>
      <c r="B589">
        <v>14</v>
      </c>
      <c r="C589">
        <v>5758</v>
      </c>
      <c r="D589" t="str">
        <f t="shared" si="9"/>
        <v>Government / authority</v>
      </c>
    </row>
    <row r="590" spans="1:4" x14ac:dyDescent="0.2">
      <c r="A590" t="s">
        <v>42</v>
      </c>
      <c r="B590">
        <v>14</v>
      </c>
      <c r="C590">
        <v>5895</v>
      </c>
      <c r="D590" t="str">
        <f t="shared" si="9"/>
        <v>Government / authority</v>
      </c>
    </row>
    <row r="591" spans="1:4" x14ac:dyDescent="0.2">
      <c r="A591" t="s">
        <v>43</v>
      </c>
      <c r="B591">
        <v>13</v>
      </c>
      <c r="C591">
        <v>1450</v>
      </c>
      <c r="D591" t="str">
        <f t="shared" si="9"/>
        <v>Privately held company</v>
      </c>
    </row>
    <row r="592" spans="1:4" x14ac:dyDescent="0.2">
      <c r="A592" t="s">
        <v>43</v>
      </c>
      <c r="B592">
        <v>13</v>
      </c>
      <c r="C592">
        <v>1755</v>
      </c>
      <c r="D592" t="str">
        <f t="shared" si="9"/>
        <v>Privately held company</v>
      </c>
    </row>
    <row r="593" spans="1:4" x14ac:dyDescent="0.2">
      <c r="A593" t="s">
        <v>43</v>
      </c>
      <c r="B593">
        <v>13</v>
      </c>
      <c r="C593">
        <v>746</v>
      </c>
      <c r="D593" t="str">
        <f t="shared" si="9"/>
        <v>Privately held company</v>
      </c>
    </row>
    <row r="594" spans="1:4" x14ac:dyDescent="0.2">
      <c r="A594" t="s">
        <v>43</v>
      </c>
      <c r="B594">
        <v>13</v>
      </c>
      <c r="C594">
        <v>1797</v>
      </c>
      <c r="D594" t="str">
        <f t="shared" si="9"/>
        <v>Privately held company</v>
      </c>
    </row>
    <row r="595" spans="1:4" x14ac:dyDescent="0.2">
      <c r="A595" t="s">
        <v>43</v>
      </c>
      <c r="B595">
        <v>13</v>
      </c>
      <c r="C595">
        <v>4513</v>
      </c>
      <c r="D595" t="str">
        <f t="shared" si="9"/>
        <v>Privately held company</v>
      </c>
    </row>
    <row r="596" spans="1:4" x14ac:dyDescent="0.2">
      <c r="A596" t="s">
        <v>43</v>
      </c>
      <c r="B596">
        <v>13</v>
      </c>
      <c r="C596">
        <v>5712</v>
      </c>
      <c r="D596" t="str">
        <f t="shared" si="9"/>
        <v>Privately held company</v>
      </c>
    </row>
    <row r="597" spans="1:4" x14ac:dyDescent="0.2">
      <c r="A597" t="s">
        <v>44</v>
      </c>
      <c r="B597">
        <v>13</v>
      </c>
      <c r="C597">
        <v>2554</v>
      </c>
      <c r="D597" t="str">
        <f t="shared" si="9"/>
        <v>Privately held company</v>
      </c>
    </row>
    <row r="598" spans="1:4" x14ac:dyDescent="0.2">
      <c r="A598" t="s">
        <v>44</v>
      </c>
      <c r="B598">
        <v>13</v>
      </c>
      <c r="C598">
        <v>2555</v>
      </c>
      <c r="D598" t="str">
        <f t="shared" si="9"/>
        <v>Privately held company</v>
      </c>
    </row>
    <row r="599" spans="1:4" x14ac:dyDescent="0.2">
      <c r="A599" t="s">
        <v>44</v>
      </c>
      <c r="B599">
        <v>13</v>
      </c>
      <c r="C599">
        <v>2556</v>
      </c>
      <c r="D599" t="str">
        <f t="shared" si="9"/>
        <v>Privately held company</v>
      </c>
    </row>
    <row r="600" spans="1:4" x14ac:dyDescent="0.2">
      <c r="A600" t="s">
        <v>44</v>
      </c>
      <c r="B600">
        <v>13</v>
      </c>
      <c r="C600">
        <v>2557</v>
      </c>
      <c r="D600" t="str">
        <f t="shared" si="9"/>
        <v>Privately held company</v>
      </c>
    </row>
    <row r="601" spans="1:4" x14ac:dyDescent="0.2">
      <c r="A601" t="s">
        <v>44</v>
      </c>
      <c r="B601">
        <v>13</v>
      </c>
      <c r="C601">
        <v>1736</v>
      </c>
      <c r="D601" t="str">
        <f t="shared" si="9"/>
        <v>Privately held company</v>
      </c>
    </row>
    <row r="602" spans="1:4" x14ac:dyDescent="0.2">
      <c r="A602" t="s">
        <v>44</v>
      </c>
      <c r="B602">
        <v>13</v>
      </c>
      <c r="C602">
        <v>1735</v>
      </c>
      <c r="D602" t="str">
        <f t="shared" si="9"/>
        <v>Privately held company</v>
      </c>
    </row>
    <row r="603" spans="1:4" x14ac:dyDescent="0.2">
      <c r="A603" t="s">
        <v>44</v>
      </c>
      <c r="B603">
        <v>13</v>
      </c>
      <c r="C603">
        <v>1737</v>
      </c>
      <c r="D603" t="str">
        <f t="shared" si="9"/>
        <v>Privately held company</v>
      </c>
    </row>
    <row r="604" spans="1:4" x14ac:dyDescent="0.2">
      <c r="A604" t="s">
        <v>44</v>
      </c>
      <c r="B604">
        <v>13</v>
      </c>
      <c r="C604">
        <v>4938</v>
      </c>
      <c r="D604" t="str">
        <f t="shared" si="9"/>
        <v>Privately held company</v>
      </c>
    </row>
    <row r="605" spans="1:4" x14ac:dyDescent="0.2">
      <c r="A605" t="s">
        <v>44</v>
      </c>
      <c r="B605">
        <v>13</v>
      </c>
      <c r="C605">
        <v>1734</v>
      </c>
      <c r="D605" t="str">
        <f t="shared" si="9"/>
        <v>Privately held company</v>
      </c>
    </row>
    <row r="606" spans="1:4" x14ac:dyDescent="0.2">
      <c r="A606" t="s">
        <v>44</v>
      </c>
      <c r="B606">
        <v>13</v>
      </c>
      <c r="C606">
        <v>2553</v>
      </c>
      <c r="D606" t="str">
        <f t="shared" si="9"/>
        <v>Privately held company</v>
      </c>
    </row>
    <row r="607" spans="1:4" x14ac:dyDescent="0.2">
      <c r="A607" t="s">
        <v>44</v>
      </c>
      <c r="B607">
        <v>13</v>
      </c>
      <c r="C607">
        <v>5370</v>
      </c>
      <c r="D607" t="str">
        <f t="shared" si="9"/>
        <v>Privately held company</v>
      </c>
    </row>
    <row r="608" spans="1:4" x14ac:dyDescent="0.2">
      <c r="A608" t="s">
        <v>44</v>
      </c>
      <c r="B608">
        <v>13</v>
      </c>
      <c r="C608">
        <v>4374</v>
      </c>
      <c r="D608" t="str">
        <f t="shared" si="9"/>
        <v>Privately held company</v>
      </c>
    </row>
    <row r="609" spans="1:4" x14ac:dyDescent="0.2">
      <c r="A609" t="s">
        <v>45</v>
      </c>
      <c r="B609">
        <v>13</v>
      </c>
      <c r="C609">
        <v>6051</v>
      </c>
      <c r="D609" t="str">
        <f t="shared" si="9"/>
        <v>Privately held company</v>
      </c>
    </row>
    <row r="610" spans="1:4" x14ac:dyDescent="0.2">
      <c r="A610" t="s">
        <v>45</v>
      </c>
      <c r="B610">
        <v>13</v>
      </c>
      <c r="C610">
        <v>6453</v>
      </c>
      <c r="D610" t="str">
        <f t="shared" si="9"/>
        <v>Privately held company</v>
      </c>
    </row>
    <row r="611" spans="1:4" x14ac:dyDescent="0.2">
      <c r="A611" t="s">
        <v>45</v>
      </c>
      <c r="B611">
        <v>13</v>
      </c>
      <c r="C611">
        <v>5990</v>
      </c>
      <c r="D611" t="str">
        <f t="shared" si="9"/>
        <v>Privately held company</v>
      </c>
    </row>
    <row r="612" spans="1:4" x14ac:dyDescent="0.2">
      <c r="A612" t="s">
        <v>45</v>
      </c>
      <c r="B612">
        <v>13</v>
      </c>
      <c r="C612">
        <v>6691</v>
      </c>
      <c r="D612" t="str">
        <f t="shared" ref="D612:D675" si="10">_xlfn.XLOOKUP(A612,$E$2:$E$53,$F$2:$F$53,,1,)</f>
        <v>Privately held company</v>
      </c>
    </row>
    <row r="613" spans="1:4" x14ac:dyDescent="0.2">
      <c r="A613" t="s">
        <v>45</v>
      </c>
      <c r="B613">
        <v>13</v>
      </c>
      <c r="C613">
        <v>6183</v>
      </c>
      <c r="D613" t="str">
        <f t="shared" si="10"/>
        <v>Privately held company</v>
      </c>
    </row>
    <row r="614" spans="1:4" x14ac:dyDescent="0.2">
      <c r="A614" t="s">
        <v>46</v>
      </c>
      <c r="B614">
        <v>13</v>
      </c>
      <c r="C614">
        <v>1850</v>
      </c>
      <c r="D614" t="str">
        <f t="shared" si="10"/>
        <v>Government / authority</v>
      </c>
    </row>
    <row r="615" spans="1:4" x14ac:dyDescent="0.2">
      <c r="A615" t="s">
        <v>46</v>
      </c>
      <c r="B615">
        <v>13</v>
      </c>
      <c r="C615">
        <v>1137</v>
      </c>
      <c r="D615" t="str">
        <f t="shared" si="10"/>
        <v>Government / authority</v>
      </c>
    </row>
    <row r="616" spans="1:4" x14ac:dyDescent="0.2">
      <c r="A616" t="s">
        <v>46</v>
      </c>
      <c r="B616">
        <v>13</v>
      </c>
      <c r="C616">
        <v>992</v>
      </c>
      <c r="D616" t="str">
        <f t="shared" si="10"/>
        <v>Government / authority</v>
      </c>
    </row>
    <row r="617" spans="1:4" x14ac:dyDescent="0.2">
      <c r="A617" t="s">
        <v>46</v>
      </c>
      <c r="B617">
        <v>13</v>
      </c>
      <c r="C617">
        <v>988</v>
      </c>
      <c r="D617" t="str">
        <f t="shared" si="10"/>
        <v>Government / authority</v>
      </c>
    </row>
    <row r="618" spans="1:4" x14ac:dyDescent="0.2">
      <c r="A618" t="s">
        <v>46</v>
      </c>
      <c r="B618">
        <v>13</v>
      </c>
      <c r="C618">
        <v>3392</v>
      </c>
      <c r="D618" t="str">
        <f t="shared" si="10"/>
        <v>Government / authority</v>
      </c>
    </row>
    <row r="619" spans="1:4" x14ac:dyDescent="0.2">
      <c r="A619" t="s">
        <v>46</v>
      </c>
      <c r="B619">
        <v>13</v>
      </c>
      <c r="C619">
        <v>993</v>
      </c>
      <c r="D619" t="str">
        <f t="shared" si="10"/>
        <v>Government / authority</v>
      </c>
    </row>
    <row r="620" spans="1:4" x14ac:dyDescent="0.2">
      <c r="A620" t="s">
        <v>46</v>
      </c>
      <c r="B620">
        <v>13</v>
      </c>
      <c r="C620">
        <v>986</v>
      </c>
      <c r="D620" t="str">
        <f t="shared" si="10"/>
        <v>Government / authority</v>
      </c>
    </row>
    <row r="621" spans="1:4" x14ac:dyDescent="0.2">
      <c r="A621" t="s">
        <v>46</v>
      </c>
      <c r="B621">
        <v>13</v>
      </c>
      <c r="C621">
        <v>2994</v>
      </c>
      <c r="D621" t="str">
        <f t="shared" si="10"/>
        <v>Government / authority</v>
      </c>
    </row>
    <row r="622" spans="1:4" x14ac:dyDescent="0.2">
      <c r="A622" t="s">
        <v>46</v>
      </c>
      <c r="B622">
        <v>13</v>
      </c>
      <c r="C622">
        <v>2027</v>
      </c>
      <c r="D622" t="str">
        <f t="shared" si="10"/>
        <v>Government / authority</v>
      </c>
    </row>
    <row r="623" spans="1:4" x14ac:dyDescent="0.2">
      <c r="A623" t="s">
        <v>46</v>
      </c>
      <c r="B623">
        <v>13</v>
      </c>
      <c r="C623">
        <v>994</v>
      </c>
      <c r="D623" t="str">
        <f t="shared" si="10"/>
        <v>Government / authority</v>
      </c>
    </row>
    <row r="624" spans="1:4" x14ac:dyDescent="0.2">
      <c r="A624" t="s">
        <v>46</v>
      </c>
      <c r="B624">
        <v>13</v>
      </c>
      <c r="C624">
        <v>3636</v>
      </c>
      <c r="D624" t="str">
        <f t="shared" si="10"/>
        <v>Government / authority</v>
      </c>
    </row>
    <row r="625" spans="1:4" x14ac:dyDescent="0.2">
      <c r="A625" t="s">
        <v>46</v>
      </c>
      <c r="B625">
        <v>13</v>
      </c>
      <c r="C625">
        <v>1815</v>
      </c>
      <c r="D625" t="str">
        <f t="shared" si="10"/>
        <v>Government / authority</v>
      </c>
    </row>
    <row r="626" spans="1:4" x14ac:dyDescent="0.2">
      <c r="A626" t="s">
        <v>46</v>
      </c>
      <c r="B626">
        <v>13</v>
      </c>
      <c r="C626">
        <v>2192</v>
      </c>
      <c r="D626" t="str">
        <f t="shared" si="10"/>
        <v>Government / authority</v>
      </c>
    </row>
    <row r="627" spans="1:4" x14ac:dyDescent="0.2">
      <c r="A627" t="s">
        <v>47</v>
      </c>
      <c r="B627">
        <v>13</v>
      </c>
      <c r="C627">
        <v>5322</v>
      </c>
      <c r="D627" t="str">
        <f t="shared" si="10"/>
        <v>Non-profit</v>
      </c>
    </row>
    <row r="628" spans="1:4" x14ac:dyDescent="0.2">
      <c r="A628" t="s">
        <v>47</v>
      </c>
      <c r="B628">
        <v>13</v>
      </c>
      <c r="C628">
        <v>6368</v>
      </c>
      <c r="D628" t="str">
        <f t="shared" si="10"/>
        <v>Non-profit</v>
      </c>
    </row>
    <row r="629" spans="1:4" x14ac:dyDescent="0.2">
      <c r="A629" t="s">
        <v>47</v>
      </c>
      <c r="B629">
        <v>13</v>
      </c>
      <c r="C629">
        <v>5189</v>
      </c>
      <c r="D629" t="str">
        <f t="shared" si="10"/>
        <v>Non-profit</v>
      </c>
    </row>
    <row r="630" spans="1:4" x14ac:dyDescent="0.2">
      <c r="A630" t="s">
        <v>47</v>
      </c>
      <c r="B630">
        <v>13</v>
      </c>
      <c r="C630">
        <v>5032</v>
      </c>
      <c r="D630" t="str">
        <f t="shared" si="10"/>
        <v>Non-profit</v>
      </c>
    </row>
    <row r="631" spans="1:4" x14ac:dyDescent="0.2">
      <c r="A631" t="s">
        <v>47</v>
      </c>
      <c r="B631">
        <v>13</v>
      </c>
      <c r="C631">
        <v>6207</v>
      </c>
      <c r="D631" t="str">
        <f t="shared" si="10"/>
        <v>Non-profit</v>
      </c>
    </row>
    <row r="632" spans="1:4" x14ac:dyDescent="0.2">
      <c r="A632" t="s">
        <v>48</v>
      </c>
      <c r="B632">
        <v>13</v>
      </c>
      <c r="C632">
        <v>1154</v>
      </c>
      <c r="D632" t="str">
        <f t="shared" si="10"/>
        <v>Government / authority</v>
      </c>
    </row>
    <row r="633" spans="1:4" x14ac:dyDescent="0.2">
      <c r="A633" t="s">
        <v>48</v>
      </c>
      <c r="B633">
        <v>13</v>
      </c>
      <c r="C633">
        <v>6285</v>
      </c>
      <c r="D633" t="str">
        <f t="shared" si="10"/>
        <v>Government / authority</v>
      </c>
    </row>
    <row r="634" spans="1:4" x14ac:dyDescent="0.2">
      <c r="A634" t="s">
        <v>48</v>
      </c>
      <c r="B634">
        <v>13</v>
      </c>
      <c r="C634">
        <v>1156</v>
      </c>
      <c r="D634" t="str">
        <f t="shared" si="10"/>
        <v>Government / authority</v>
      </c>
    </row>
    <row r="635" spans="1:4" x14ac:dyDescent="0.2">
      <c r="A635" t="s">
        <v>48</v>
      </c>
      <c r="B635">
        <v>13</v>
      </c>
      <c r="C635">
        <v>1157</v>
      </c>
      <c r="D635" t="str">
        <f t="shared" si="10"/>
        <v>Government / authority</v>
      </c>
    </row>
    <row r="636" spans="1:4" x14ac:dyDescent="0.2">
      <c r="A636" t="s">
        <v>48</v>
      </c>
      <c r="B636">
        <v>13</v>
      </c>
      <c r="C636">
        <v>1167</v>
      </c>
      <c r="D636" t="str">
        <f t="shared" si="10"/>
        <v>Government / authority</v>
      </c>
    </row>
    <row r="637" spans="1:4" x14ac:dyDescent="0.2">
      <c r="A637" t="s">
        <v>48</v>
      </c>
      <c r="B637">
        <v>13</v>
      </c>
      <c r="C637">
        <v>3157</v>
      </c>
      <c r="D637" t="str">
        <f t="shared" si="10"/>
        <v>Government / authority</v>
      </c>
    </row>
    <row r="638" spans="1:4" x14ac:dyDescent="0.2">
      <c r="A638" t="s">
        <v>49</v>
      </c>
      <c r="B638">
        <v>13</v>
      </c>
      <c r="C638">
        <v>1062</v>
      </c>
      <c r="D638" t="str">
        <f t="shared" si="10"/>
        <v>Private equity–owned</v>
      </c>
    </row>
    <row r="639" spans="1:4" x14ac:dyDescent="0.2">
      <c r="A639" t="s">
        <v>49</v>
      </c>
      <c r="B639">
        <v>13</v>
      </c>
      <c r="C639">
        <v>4264</v>
      </c>
      <c r="D639" t="str">
        <f t="shared" si="10"/>
        <v>Private equity–owned</v>
      </c>
    </row>
    <row r="640" spans="1:4" x14ac:dyDescent="0.2">
      <c r="A640" t="s">
        <v>49</v>
      </c>
      <c r="B640">
        <v>13</v>
      </c>
      <c r="C640">
        <v>2250</v>
      </c>
      <c r="D640" t="str">
        <f t="shared" si="10"/>
        <v>Private equity–owned</v>
      </c>
    </row>
    <row r="641" spans="1:4" x14ac:dyDescent="0.2">
      <c r="A641" t="s">
        <v>49</v>
      </c>
      <c r="B641">
        <v>13</v>
      </c>
      <c r="C641">
        <v>1059</v>
      </c>
      <c r="D641" t="str">
        <f t="shared" si="10"/>
        <v>Private equity–owned</v>
      </c>
    </row>
    <row r="642" spans="1:4" x14ac:dyDescent="0.2">
      <c r="A642" t="s">
        <v>49</v>
      </c>
      <c r="B642">
        <v>13</v>
      </c>
      <c r="C642">
        <v>1052</v>
      </c>
      <c r="D642" t="str">
        <f t="shared" si="10"/>
        <v>Private equity–owned</v>
      </c>
    </row>
    <row r="643" spans="1:4" x14ac:dyDescent="0.2">
      <c r="A643" t="s">
        <v>49</v>
      </c>
      <c r="B643">
        <v>13</v>
      </c>
      <c r="C643">
        <v>1051</v>
      </c>
      <c r="D643" t="str">
        <f t="shared" si="10"/>
        <v>Private equity–owned</v>
      </c>
    </row>
    <row r="644" spans="1:4" x14ac:dyDescent="0.2">
      <c r="A644" t="s">
        <v>49</v>
      </c>
      <c r="B644">
        <v>13</v>
      </c>
      <c r="C644">
        <v>1057</v>
      </c>
      <c r="D644" t="str">
        <f t="shared" si="10"/>
        <v>Private equity–owned</v>
      </c>
    </row>
    <row r="645" spans="1:4" x14ac:dyDescent="0.2">
      <c r="A645" t="s">
        <v>49</v>
      </c>
      <c r="B645">
        <v>13</v>
      </c>
      <c r="C645">
        <v>4994</v>
      </c>
      <c r="D645" t="str">
        <f t="shared" si="10"/>
        <v>Private equity–owned</v>
      </c>
    </row>
    <row r="646" spans="1:4" x14ac:dyDescent="0.2">
      <c r="A646" t="s">
        <v>49</v>
      </c>
      <c r="B646">
        <v>13</v>
      </c>
      <c r="C646">
        <v>2479</v>
      </c>
      <c r="D646" t="str">
        <f t="shared" si="10"/>
        <v>Private equity–owned</v>
      </c>
    </row>
    <row r="647" spans="1:4" x14ac:dyDescent="0.2">
      <c r="A647" t="s">
        <v>49</v>
      </c>
      <c r="B647">
        <v>13</v>
      </c>
      <c r="C647">
        <v>1061</v>
      </c>
      <c r="D647" t="str">
        <f t="shared" si="10"/>
        <v>Private equity–owned</v>
      </c>
    </row>
    <row r="648" spans="1:4" x14ac:dyDescent="0.2">
      <c r="A648" t="s">
        <v>50</v>
      </c>
      <c r="B648">
        <v>13</v>
      </c>
      <c r="C648">
        <v>6750</v>
      </c>
      <c r="D648" t="str">
        <f t="shared" si="10"/>
        <v>Privately held company</v>
      </c>
    </row>
    <row r="649" spans="1:4" x14ac:dyDescent="0.2">
      <c r="A649" t="s">
        <v>50</v>
      </c>
      <c r="B649">
        <v>13</v>
      </c>
      <c r="C649">
        <v>6873</v>
      </c>
      <c r="D649" t="str">
        <f t="shared" si="10"/>
        <v>Privately held company</v>
      </c>
    </row>
    <row r="650" spans="1:4" x14ac:dyDescent="0.2">
      <c r="A650" t="s">
        <v>50</v>
      </c>
      <c r="B650">
        <v>13</v>
      </c>
      <c r="C650">
        <v>6637</v>
      </c>
      <c r="D650" t="str">
        <f t="shared" si="10"/>
        <v>Privately held company</v>
      </c>
    </row>
    <row r="651" spans="1:4" x14ac:dyDescent="0.2">
      <c r="A651" t="s">
        <v>50</v>
      </c>
      <c r="B651">
        <v>13</v>
      </c>
      <c r="C651">
        <v>6375</v>
      </c>
      <c r="D651" t="str">
        <f t="shared" si="10"/>
        <v>Privately held company</v>
      </c>
    </row>
    <row r="652" spans="1:4" x14ac:dyDescent="0.2">
      <c r="A652" t="s">
        <v>50</v>
      </c>
      <c r="B652">
        <v>13</v>
      </c>
      <c r="C652">
        <v>5825</v>
      </c>
      <c r="D652" t="str">
        <f t="shared" si="10"/>
        <v>Privately held company</v>
      </c>
    </row>
    <row r="653" spans="1:4" x14ac:dyDescent="0.2">
      <c r="A653" t="s">
        <v>50</v>
      </c>
      <c r="B653">
        <v>13</v>
      </c>
      <c r="C653">
        <v>6699</v>
      </c>
      <c r="D653" t="str">
        <f t="shared" si="10"/>
        <v>Privately held company</v>
      </c>
    </row>
    <row r="654" spans="1:4" x14ac:dyDescent="0.2">
      <c r="A654" t="s">
        <v>50</v>
      </c>
      <c r="B654">
        <v>13</v>
      </c>
      <c r="C654">
        <v>6542</v>
      </c>
      <c r="D654" t="str">
        <f t="shared" si="10"/>
        <v>Privately held company</v>
      </c>
    </row>
    <row r="655" spans="1:4" x14ac:dyDescent="0.2">
      <c r="A655" t="s">
        <v>50</v>
      </c>
      <c r="B655">
        <v>13</v>
      </c>
      <c r="C655">
        <v>5829</v>
      </c>
      <c r="D655" t="str">
        <f t="shared" si="10"/>
        <v>Privately held company</v>
      </c>
    </row>
    <row r="656" spans="1:4" x14ac:dyDescent="0.2">
      <c r="A656" t="s">
        <v>50</v>
      </c>
      <c r="B656">
        <v>13</v>
      </c>
      <c r="C656">
        <v>6603</v>
      </c>
      <c r="D656" t="str">
        <f t="shared" si="10"/>
        <v>Privately held company</v>
      </c>
    </row>
    <row r="657" spans="1:4" x14ac:dyDescent="0.2">
      <c r="A657" t="s">
        <v>51</v>
      </c>
      <c r="B657">
        <v>12</v>
      </c>
      <c r="C657">
        <v>6089</v>
      </c>
      <c r="D657" t="str">
        <f t="shared" si="10"/>
        <v>Privately held company</v>
      </c>
    </row>
    <row r="658" spans="1:4" x14ac:dyDescent="0.2">
      <c r="A658" t="s">
        <v>51</v>
      </c>
      <c r="B658">
        <v>12</v>
      </c>
      <c r="C658">
        <v>4606</v>
      </c>
      <c r="D658" t="str">
        <f t="shared" si="10"/>
        <v>Privately held company</v>
      </c>
    </row>
    <row r="659" spans="1:4" x14ac:dyDescent="0.2">
      <c r="A659" t="s">
        <v>51</v>
      </c>
      <c r="B659">
        <v>12</v>
      </c>
      <c r="C659">
        <v>5671</v>
      </c>
      <c r="D659" t="str">
        <f t="shared" si="10"/>
        <v>Privately held company</v>
      </c>
    </row>
    <row r="660" spans="1:4" x14ac:dyDescent="0.2">
      <c r="A660" t="s">
        <v>52</v>
      </c>
      <c r="B660">
        <v>12</v>
      </c>
      <c r="C660">
        <v>6502</v>
      </c>
      <c r="D660" t="str">
        <f t="shared" si="10"/>
        <v>Privately held company</v>
      </c>
    </row>
    <row r="661" spans="1:4" x14ac:dyDescent="0.2">
      <c r="A661" t="s">
        <v>52</v>
      </c>
      <c r="B661">
        <v>12</v>
      </c>
      <c r="C661">
        <v>6503</v>
      </c>
      <c r="D661" t="str">
        <f t="shared" si="10"/>
        <v>Privately held company</v>
      </c>
    </row>
    <row r="662" spans="1:4" x14ac:dyDescent="0.2">
      <c r="A662" t="s">
        <v>52</v>
      </c>
      <c r="B662">
        <v>12</v>
      </c>
      <c r="C662">
        <v>6676</v>
      </c>
      <c r="D662" t="str">
        <f t="shared" si="10"/>
        <v>Privately held company</v>
      </c>
    </row>
    <row r="663" spans="1:4" x14ac:dyDescent="0.2">
      <c r="A663" t="s">
        <v>52</v>
      </c>
      <c r="B663">
        <v>12</v>
      </c>
      <c r="C663">
        <v>6555</v>
      </c>
      <c r="D663" t="str">
        <f t="shared" si="10"/>
        <v>Privately held company</v>
      </c>
    </row>
    <row r="664" spans="1:4" x14ac:dyDescent="0.2">
      <c r="A664" t="s">
        <v>52</v>
      </c>
      <c r="B664">
        <v>12</v>
      </c>
      <c r="C664">
        <v>6554</v>
      </c>
      <c r="D664" t="str">
        <f t="shared" si="10"/>
        <v>Privately held company</v>
      </c>
    </row>
    <row r="665" spans="1:4" x14ac:dyDescent="0.2">
      <c r="A665" t="s">
        <v>52</v>
      </c>
      <c r="B665">
        <v>12</v>
      </c>
      <c r="C665">
        <v>6556</v>
      </c>
      <c r="D665" t="str">
        <f t="shared" si="10"/>
        <v>Privately held company</v>
      </c>
    </row>
    <row r="666" spans="1:4" x14ac:dyDescent="0.2">
      <c r="A666" t="s">
        <v>52</v>
      </c>
      <c r="B666">
        <v>12</v>
      </c>
      <c r="C666">
        <v>6557</v>
      </c>
      <c r="D666" t="str">
        <f t="shared" si="10"/>
        <v>Privately held company</v>
      </c>
    </row>
    <row r="667" spans="1:4" x14ac:dyDescent="0.2">
      <c r="A667" t="s">
        <v>52</v>
      </c>
      <c r="B667">
        <v>12</v>
      </c>
      <c r="C667">
        <v>6748</v>
      </c>
      <c r="D667" t="str">
        <f t="shared" si="10"/>
        <v>Privately held company</v>
      </c>
    </row>
    <row r="668" spans="1:4" x14ac:dyDescent="0.2">
      <c r="A668" t="s">
        <v>53</v>
      </c>
      <c r="B668">
        <v>11</v>
      </c>
      <c r="C668">
        <v>612</v>
      </c>
      <c r="D668" t="str">
        <f t="shared" si="10"/>
        <v>Privately held company</v>
      </c>
    </row>
    <row r="669" spans="1:4" x14ac:dyDescent="0.2">
      <c r="A669" t="s">
        <v>53</v>
      </c>
      <c r="B669">
        <v>11</v>
      </c>
      <c r="C669">
        <v>1730</v>
      </c>
      <c r="D669" t="str">
        <f t="shared" si="10"/>
        <v>Privately held company</v>
      </c>
    </row>
    <row r="670" spans="1:4" x14ac:dyDescent="0.2">
      <c r="A670" t="s">
        <v>53</v>
      </c>
      <c r="B670">
        <v>11</v>
      </c>
      <c r="C670">
        <v>1937</v>
      </c>
      <c r="D670" t="str">
        <f t="shared" si="10"/>
        <v>Privately held company</v>
      </c>
    </row>
    <row r="671" spans="1:4" x14ac:dyDescent="0.2">
      <c r="A671" t="s">
        <v>53</v>
      </c>
      <c r="B671">
        <v>11</v>
      </c>
      <c r="C671">
        <v>1731</v>
      </c>
      <c r="D671" t="str">
        <f t="shared" si="10"/>
        <v>Privately held company</v>
      </c>
    </row>
    <row r="672" spans="1:4" x14ac:dyDescent="0.2">
      <c r="A672" t="s">
        <v>53</v>
      </c>
      <c r="B672">
        <v>11</v>
      </c>
      <c r="C672">
        <v>548</v>
      </c>
      <c r="D672" t="str">
        <f t="shared" si="10"/>
        <v>Privately held company</v>
      </c>
    </row>
    <row r="673" spans="1:4" x14ac:dyDescent="0.2">
      <c r="A673" t="s">
        <v>54</v>
      </c>
      <c r="B673">
        <v>11</v>
      </c>
      <c r="C673">
        <v>2225</v>
      </c>
      <c r="D673" t="str">
        <f t="shared" si="10"/>
        <v>Non-profit</v>
      </c>
    </row>
    <row r="674" spans="1:4" x14ac:dyDescent="0.2">
      <c r="A674" t="s">
        <v>54</v>
      </c>
      <c r="B674">
        <v>11</v>
      </c>
      <c r="C674">
        <v>2221</v>
      </c>
      <c r="D674" t="str">
        <f t="shared" si="10"/>
        <v>Non-profit</v>
      </c>
    </row>
    <row r="675" spans="1:4" x14ac:dyDescent="0.2">
      <c r="A675" t="s">
        <v>54</v>
      </c>
      <c r="B675">
        <v>11</v>
      </c>
      <c r="C675">
        <v>2224</v>
      </c>
      <c r="D675" t="str">
        <f t="shared" si="10"/>
        <v>Non-profit</v>
      </c>
    </row>
    <row r="676" spans="1:4" x14ac:dyDescent="0.2">
      <c r="A676" t="s">
        <v>54</v>
      </c>
      <c r="B676">
        <v>11</v>
      </c>
      <c r="C676">
        <v>1452</v>
      </c>
      <c r="D676" t="str">
        <f t="shared" ref="D676:D739" si="11">_xlfn.XLOOKUP(A676,$E$2:$E$53,$F$2:$F$53,,1,)</f>
        <v>Non-profit</v>
      </c>
    </row>
    <row r="677" spans="1:4" x14ac:dyDescent="0.2">
      <c r="A677" t="s">
        <v>55</v>
      </c>
      <c r="B677">
        <v>11</v>
      </c>
      <c r="C677">
        <v>1147</v>
      </c>
      <c r="D677" t="str">
        <f t="shared" si="11"/>
        <v>Non-profit</v>
      </c>
    </row>
    <row r="678" spans="1:4" x14ac:dyDescent="0.2">
      <c r="A678" t="s">
        <v>55</v>
      </c>
      <c r="B678">
        <v>11</v>
      </c>
      <c r="C678">
        <v>1155</v>
      </c>
      <c r="D678" t="str">
        <f t="shared" si="11"/>
        <v>Non-profit</v>
      </c>
    </row>
    <row r="679" spans="1:4" x14ac:dyDescent="0.2">
      <c r="A679" t="s">
        <v>55</v>
      </c>
      <c r="B679">
        <v>11</v>
      </c>
      <c r="C679">
        <v>1153</v>
      </c>
      <c r="D679" t="str">
        <f t="shared" si="11"/>
        <v>Non-profit</v>
      </c>
    </row>
    <row r="680" spans="1:4" x14ac:dyDescent="0.2">
      <c r="A680" t="s">
        <v>56</v>
      </c>
      <c r="B680">
        <v>11</v>
      </c>
      <c r="C680">
        <v>5358</v>
      </c>
      <c r="D680" t="str">
        <f t="shared" si="11"/>
        <v>Privately held company</v>
      </c>
    </row>
    <row r="681" spans="1:4" x14ac:dyDescent="0.2">
      <c r="A681" t="s">
        <v>56</v>
      </c>
      <c r="B681">
        <v>11</v>
      </c>
      <c r="C681">
        <v>6582</v>
      </c>
      <c r="D681" t="str">
        <f t="shared" si="11"/>
        <v>Privately held company</v>
      </c>
    </row>
    <row r="682" spans="1:4" x14ac:dyDescent="0.2">
      <c r="A682" t="s">
        <v>56</v>
      </c>
      <c r="B682">
        <v>11</v>
      </c>
      <c r="C682">
        <v>4452</v>
      </c>
      <c r="D682" t="str">
        <f t="shared" si="11"/>
        <v>Privately held company</v>
      </c>
    </row>
    <row r="683" spans="1:4" x14ac:dyDescent="0.2">
      <c r="A683" t="s">
        <v>56</v>
      </c>
      <c r="B683">
        <v>11</v>
      </c>
      <c r="C683">
        <v>6428</v>
      </c>
      <c r="D683" t="str">
        <f t="shared" si="11"/>
        <v>Privately held company</v>
      </c>
    </row>
    <row r="684" spans="1:4" x14ac:dyDescent="0.2">
      <c r="A684" t="s">
        <v>57</v>
      </c>
      <c r="B684">
        <v>11</v>
      </c>
      <c r="C684">
        <v>560</v>
      </c>
      <c r="D684" t="str">
        <f t="shared" si="11"/>
        <v>Privately held company</v>
      </c>
    </row>
    <row r="685" spans="1:4" x14ac:dyDescent="0.2">
      <c r="A685" t="s">
        <v>57</v>
      </c>
      <c r="B685">
        <v>11</v>
      </c>
      <c r="C685">
        <v>1991</v>
      </c>
      <c r="D685" t="str">
        <f t="shared" si="11"/>
        <v>Privately held company</v>
      </c>
    </row>
    <row r="686" spans="1:4" x14ac:dyDescent="0.2">
      <c r="A686" t="s">
        <v>57</v>
      </c>
      <c r="B686">
        <v>11</v>
      </c>
      <c r="C686">
        <v>1992</v>
      </c>
      <c r="D686" t="str">
        <f t="shared" si="11"/>
        <v>Privately held company</v>
      </c>
    </row>
    <row r="687" spans="1:4" x14ac:dyDescent="0.2">
      <c r="A687" t="s">
        <v>57</v>
      </c>
      <c r="B687">
        <v>11</v>
      </c>
      <c r="C687">
        <v>1063</v>
      </c>
      <c r="D687" t="str">
        <f t="shared" si="11"/>
        <v>Privately held company</v>
      </c>
    </row>
    <row r="688" spans="1:4" x14ac:dyDescent="0.2">
      <c r="A688" t="s">
        <v>57</v>
      </c>
      <c r="B688">
        <v>11</v>
      </c>
      <c r="C688">
        <v>572</v>
      </c>
      <c r="D688" t="str">
        <f t="shared" si="11"/>
        <v>Privately held company</v>
      </c>
    </row>
    <row r="689" spans="1:4" x14ac:dyDescent="0.2">
      <c r="A689" t="s">
        <v>58</v>
      </c>
      <c r="B689">
        <v>11</v>
      </c>
      <c r="C689">
        <v>5826</v>
      </c>
      <c r="D689" t="str">
        <f t="shared" si="11"/>
        <v>Privately held company</v>
      </c>
    </row>
    <row r="690" spans="1:4" x14ac:dyDescent="0.2">
      <c r="A690" t="s">
        <v>58</v>
      </c>
      <c r="B690">
        <v>11</v>
      </c>
      <c r="C690">
        <v>4640</v>
      </c>
      <c r="D690" t="str">
        <f t="shared" si="11"/>
        <v>Privately held company</v>
      </c>
    </row>
    <row r="691" spans="1:4" x14ac:dyDescent="0.2">
      <c r="A691" t="s">
        <v>58</v>
      </c>
      <c r="B691">
        <v>11</v>
      </c>
      <c r="C691">
        <v>2215</v>
      </c>
      <c r="D691" t="str">
        <f t="shared" si="11"/>
        <v>Privately held company</v>
      </c>
    </row>
    <row r="692" spans="1:4" x14ac:dyDescent="0.2">
      <c r="A692" t="s">
        <v>58</v>
      </c>
      <c r="B692">
        <v>11</v>
      </c>
      <c r="C692">
        <v>711</v>
      </c>
      <c r="D692" t="str">
        <f t="shared" si="11"/>
        <v>Privately held company</v>
      </c>
    </row>
    <row r="693" spans="1:4" x14ac:dyDescent="0.2">
      <c r="A693" t="s">
        <v>58</v>
      </c>
      <c r="B693">
        <v>11</v>
      </c>
      <c r="C693">
        <v>6866</v>
      </c>
      <c r="D693" t="str">
        <f t="shared" si="11"/>
        <v>Privately held company</v>
      </c>
    </row>
    <row r="694" spans="1:4" x14ac:dyDescent="0.2">
      <c r="A694" t="s">
        <v>58</v>
      </c>
      <c r="B694">
        <v>11</v>
      </c>
      <c r="C694">
        <v>6861</v>
      </c>
      <c r="D694" t="str">
        <f t="shared" si="11"/>
        <v>Privately held company</v>
      </c>
    </row>
    <row r="695" spans="1:4" x14ac:dyDescent="0.2">
      <c r="A695" t="s">
        <v>59</v>
      </c>
      <c r="B695">
        <v>11</v>
      </c>
      <c r="C695">
        <v>6394</v>
      </c>
      <c r="D695" t="str">
        <f t="shared" si="11"/>
        <v>Government / authority</v>
      </c>
    </row>
    <row r="696" spans="1:4" x14ac:dyDescent="0.2">
      <c r="A696" t="s">
        <v>59</v>
      </c>
      <c r="B696">
        <v>11</v>
      </c>
      <c r="C696">
        <v>6814</v>
      </c>
      <c r="D696" t="str">
        <f t="shared" si="11"/>
        <v>Government / authority</v>
      </c>
    </row>
    <row r="697" spans="1:4" x14ac:dyDescent="0.2">
      <c r="A697" t="s">
        <v>59</v>
      </c>
      <c r="B697">
        <v>11</v>
      </c>
      <c r="C697">
        <v>1354</v>
      </c>
      <c r="D697" t="str">
        <f t="shared" si="11"/>
        <v>Government / authority</v>
      </c>
    </row>
    <row r="698" spans="1:4" x14ac:dyDescent="0.2">
      <c r="A698" t="s">
        <v>59</v>
      </c>
      <c r="B698">
        <v>11</v>
      </c>
      <c r="C698">
        <v>3231</v>
      </c>
      <c r="D698" t="str">
        <f t="shared" si="11"/>
        <v>Government / authority</v>
      </c>
    </row>
    <row r="699" spans="1:4" x14ac:dyDescent="0.2">
      <c r="A699" t="s">
        <v>59</v>
      </c>
      <c r="B699">
        <v>11</v>
      </c>
      <c r="C699">
        <v>3508</v>
      </c>
      <c r="D699" t="str">
        <f t="shared" si="11"/>
        <v>Government / authority</v>
      </c>
    </row>
    <row r="700" spans="1:4" x14ac:dyDescent="0.2">
      <c r="A700" t="s">
        <v>59</v>
      </c>
      <c r="B700">
        <v>11</v>
      </c>
      <c r="C700">
        <v>3637</v>
      </c>
      <c r="D700" t="str">
        <f t="shared" si="11"/>
        <v>Government / authority</v>
      </c>
    </row>
    <row r="701" spans="1:4" x14ac:dyDescent="0.2">
      <c r="A701" t="s">
        <v>59</v>
      </c>
      <c r="B701">
        <v>11</v>
      </c>
      <c r="C701">
        <v>3072</v>
      </c>
      <c r="D701" t="str">
        <f t="shared" si="11"/>
        <v>Government / authority</v>
      </c>
    </row>
    <row r="702" spans="1:4" x14ac:dyDescent="0.2">
      <c r="A702" t="s">
        <v>59</v>
      </c>
      <c r="B702">
        <v>11</v>
      </c>
      <c r="C702">
        <v>6813</v>
      </c>
      <c r="D702" t="str">
        <f t="shared" si="11"/>
        <v>Government / authority</v>
      </c>
    </row>
    <row r="703" spans="1:4" x14ac:dyDescent="0.2">
      <c r="A703" t="s">
        <v>59</v>
      </c>
      <c r="B703">
        <v>11</v>
      </c>
      <c r="C703">
        <v>7323</v>
      </c>
      <c r="D703" t="str">
        <f t="shared" si="11"/>
        <v>Government / authority</v>
      </c>
    </row>
    <row r="704" spans="1:4" x14ac:dyDescent="0.2">
      <c r="A704" t="s">
        <v>59</v>
      </c>
      <c r="B704">
        <v>11</v>
      </c>
      <c r="C704">
        <v>6804</v>
      </c>
      <c r="D704" t="str">
        <f t="shared" si="11"/>
        <v>Government / authority</v>
      </c>
    </row>
    <row r="705" spans="1:4" x14ac:dyDescent="0.2">
      <c r="A705" t="s">
        <v>59</v>
      </c>
      <c r="B705">
        <v>11</v>
      </c>
      <c r="C705">
        <v>3230</v>
      </c>
      <c r="D705" t="str">
        <f t="shared" si="11"/>
        <v>Government / authority</v>
      </c>
    </row>
    <row r="706" spans="1:4" x14ac:dyDescent="0.2">
      <c r="A706" t="s">
        <v>60</v>
      </c>
      <c r="B706">
        <v>11</v>
      </c>
      <c r="C706">
        <v>7275</v>
      </c>
      <c r="D706" t="str">
        <f t="shared" si="11"/>
        <v>Government / authority</v>
      </c>
    </row>
    <row r="707" spans="1:4" x14ac:dyDescent="0.2">
      <c r="A707" t="s">
        <v>60</v>
      </c>
      <c r="B707">
        <v>11</v>
      </c>
      <c r="C707">
        <v>7276</v>
      </c>
      <c r="D707" t="str">
        <f t="shared" si="11"/>
        <v>Government / authority</v>
      </c>
    </row>
    <row r="708" spans="1:4" x14ac:dyDescent="0.2">
      <c r="A708" t="s">
        <v>60</v>
      </c>
      <c r="B708">
        <v>11</v>
      </c>
      <c r="C708">
        <v>7228</v>
      </c>
      <c r="D708" t="str">
        <f t="shared" si="11"/>
        <v>Government / authority</v>
      </c>
    </row>
    <row r="709" spans="1:4" x14ac:dyDescent="0.2">
      <c r="A709" t="s">
        <v>60</v>
      </c>
      <c r="B709">
        <v>11</v>
      </c>
      <c r="C709">
        <v>7229</v>
      </c>
      <c r="D709" t="str">
        <f t="shared" si="11"/>
        <v>Government / authority</v>
      </c>
    </row>
    <row r="710" spans="1:4" x14ac:dyDescent="0.2">
      <c r="A710" t="s">
        <v>60</v>
      </c>
      <c r="B710">
        <v>11</v>
      </c>
      <c r="C710">
        <v>7230</v>
      </c>
      <c r="D710" t="str">
        <f t="shared" si="11"/>
        <v>Government / authority</v>
      </c>
    </row>
    <row r="711" spans="1:4" x14ac:dyDescent="0.2">
      <c r="A711" t="s">
        <v>60</v>
      </c>
      <c r="B711">
        <v>11</v>
      </c>
      <c r="C711">
        <v>7278</v>
      </c>
      <c r="D711" t="str">
        <f t="shared" si="11"/>
        <v>Government / authority</v>
      </c>
    </row>
    <row r="712" spans="1:4" x14ac:dyDescent="0.2">
      <c r="A712" t="s">
        <v>60</v>
      </c>
      <c r="B712">
        <v>11</v>
      </c>
      <c r="C712">
        <v>7274</v>
      </c>
      <c r="D712" t="str">
        <f t="shared" si="11"/>
        <v>Government / authority</v>
      </c>
    </row>
    <row r="713" spans="1:4" x14ac:dyDescent="0.2">
      <c r="A713" t="s">
        <v>60</v>
      </c>
      <c r="B713">
        <v>11</v>
      </c>
      <c r="C713">
        <v>7277</v>
      </c>
      <c r="D713" t="str">
        <f t="shared" si="11"/>
        <v>Government / authority</v>
      </c>
    </row>
    <row r="714" spans="1:4" x14ac:dyDescent="0.2">
      <c r="A714" t="s">
        <v>61</v>
      </c>
      <c r="B714">
        <v>11</v>
      </c>
      <c r="C714">
        <v>899</v>
      </c>
      <c r="D714" t="str">
        <f t="shared" si="11"/>
        <v>Private equity–owned</v>
      </c>
    </row>
    <row r="715" spans="1:4" x14ac:dyDescent="0.2">
      <c r="A715" t="s">
        <v>61</v>
      </c>
      <c r="B715">
        <v>11</v>
      </c>
      <c r="C715">
        <v>4385</v>
      </c>
      <c r="D715" t="str">
        <f t="shared" si="11"/>
        <v>Private equity–owned</v>
      </c>
    </row>
    <row r="716" spans="1:4" x14ac:dyDescent="0.2">
      <c r="A716" t="s">
        <v>61</v>
      </c>
      <c r="B716">
        <v>11</v>
      </c>
      <c r="C716">
        <v>6147</v>
      </c>
      <c r="D716" t="str">
        <f t="shared" si="11"/>
        <v>Private equity–owned</v>
      </c>
    </row>
    <row r="717" spans="1:4" x14ac:dyDescent="0.2">
      <c r="A717" t="s">
        <v>61</v>
      </c>
      <c r="B717">
        <v>11</v>
      </c>
      <c r="C717">
        <v>4958</v>
      </c>
      <c r="D717" t="str">
        <f t="shared" si="11"/>
        <v>Private equity–owned</v>
      </c>
    </row>
    <row r="718" spans="1:4" x14ac:dyDescent="0.2">
      <c r="A718" t="s">
        <v>62</v>
      </c>
      <c r="B718">
        <v>10</v>
      </c>
      <c r="C718">
        <v>1756</v>
      </c>
      <c r="D718" t="str">
        <f t="shared" si="11"/>
        <v>Government / authority</v>
      </c>
    </row>
    <row r="719" spans="1:4" x14ac:dyDescent="0.2">
      <c r="A719" t="s">
        <v>62</v>
      </c>
      <c r="B719">
        <v>10</v>
      </c>
      <c r="C719">
        <v>1754</v>
      </c>
      <c r="D719" t="str">
        <f t="shared" si="11"/>
        <v>Government / authority</v>
      </c>
    </row>
    <row r="720" spans="1:4" x14ac:dyDescent="0.2">
      <c r="A720" t="s">
        <v>62</v>
      </c>
      <c r="B720">
        <v>10</v>
      </c>
      <c r="C720">
        <v>1199</v>
      </c>
      <c r="D720" t="str">
        <f t="shared" si="11"/>
        <v>Government / authority</v>
      </c>
    </row>
    <row r="721" spans="1:4" x14ac:dyDescent="0.2">
      <c r="A721" t="s">
        <v>62</v>
      </c>
      <c r="B721">
        <v>10</v>
      </c>
      <c r="C721">
        <v>1753</v>
      </c>
      <c r="D721" t="str">
        <f t="shared" si="11"/>
        <v>Government / authority</v>
      </c>
    </row>
    <row r="722" spans="1:4" x14ac:dyDescent="0.2">
      <c r="A722" t="s">
        <v>62</v>
      </c>
      <c r="B722">
        <v>10</v>
      </c>
      <c r="C722">
        <v>1757</v>
      </c>
      <c r="D722" t="str">
        <f t="shared" si="11"/>
        <v>Government / authority</v>
      </c>
    </row>
    <row r="723" spans="1:4" x14ac:dyDescent="0.2">
      <c r="A723" t="s">
        <v>62</v>
      </c>
      <c r="B723">
        <v>10</v>
      </c>
      <c r="C723">
        <v>1198</v>
      </c>
      <c r="D723" t="str">
        <f t="shared" si="11"/>
        <v>Government / authority</v>
      </c>
    </row>
    <row r="724" spans="1:4" x14ac:dyDescent="0.2">
      <c r="A724" t="s">
        <v>63</v>
      </c>
      <c r="B724">
        <v>10</v>
      </c>
      <c r="C724">
        <v>7212</v>
      </c>
      <c r="D724" t="str">
        <f t="shared" si="11"/>
        <v>Privately held company</v>
      </c>
    </row>
    <row r="725" spans="1:4" x14ac:dyDescent="0.2">
      <c r="A725" t="s">
        <v>64</v>
      </c>
      <c r="B725">
        <v>10</v>
      </c>
      <c r="C725">
        <v>7073</v>
      </c>
      <c r="D725" t="str">
        <f t="shared" si="11"/>
        <v>Privately held company</v>
      </c>
    </row>
    <row r="726" spans="1:4" x14ac:dyDescent="0.2">
      <c r="A726" t="s">
        <v>64</v>
      </c>
      <c r="B726">
        <v>10</v>
      </c>
      <c r="C726">
        <v>6415</v>
      </c>
      <c r="D726" t="str">
        <f t="shared" si="11"/>
        <v>Privately held company</v>
      </c>
    </row>
    <row r="727" spans="1:4" x14ac:dyDescent="0.2">
      <c r="A727" t="s">
        <v>65</v>
      </c>
      <c r="B727">
        <v>10</v>
      </c>
      <c r="C727">
        <v>1069</v>
      </c>
      <c r="D727" t="str">
        <f t="shared" si="11"/>
        <v>Privately held company</v>
      </c>
    </row>
    <row r="728" spans="1:4" x14ac:dyDescent="0.2">
      <c r="A728" t="s">
        <v>65</v>
      </c>
      <c r="B728">
        <v>10</v>
      </c>
      <c r="C728">
        <v>2855</v>
      </c>
      <c r="D728" t="str">
        <f t="shared" si="11"/>
        <v>Privately held company</v>
      </c>
    </row>
    <row r="729" spans="1:4" x14ac:dyDescent="0.2">
      <c r="A729" t="s">
        <v>65</v>
      </c>
      <c r="B729">
        <v>10</v>
      </c>
      <c r="C729">
        <v>2862</v>
      </c>
      <c r="D729" t="str">
        <f t="shared" si="11"/>
        <v>Privately held company</v>
      </c>
    </row>
    <row r="730" spans="1:4" x14ac:dyDescent="0.2">
      <c r="A730" t="s">
        <v>65</v>
      </c>
      <c r="B730">
        <v>10</v>
      </c>
      <c r="C730">
        <v>2865</v>
      </c>
      <c r="D730" t="str">
        <f t="shared" si="11"/>
        <v>Privately held company</v>
      </c>
    </row>
    <row r="731" spans="1:4" x14ac:dyDescent="0.2">
      <c r="A731" t="s">
        <v>65</v>
      </c>
      <c r="B731">
        <v>10</v>
      </c>
      <c r="C731">
        <v>1073</v>
      </c>
      <c r="D731" t="str">
        <f t="shared" si="11"/>
        <v>Privately held company</v>
      </c>
    </row>
    <row r="732" spans="1:4" x14ac:dyDescent="0.2">
      <c r="A732" t="s">
        <v>66</v>
      </c>
      <c r="B732">
        <v>10</v>
      </c>
      <c r="C732">
        <v>3181</v>
      </c>
      <c r="D732" t="str">
        <f t="shared" si="11"/>
        <v>Government / authority</v>
      </c>
    </row>
    <row r="733" spans="1:4" x14ac:dyDescent="0.2">
      <c r="A733" t="s">
        <v>66</v>
      </c>
      <c r="B733">
        <v>10</v>
      </c>
      <c r="C733">
        <v>4609</v>
      </c>
      <c r="D733" t="str">
        <f t="shared" si="11"/>
        <v>Government / authority</v>
      </c>
    </row>
    <row r="734" spans="1:4" x14ac:dyDescent="0.2">
      <c r="A734" t="s">
        <v>66</v>
      </c>
      <c r="B734">
        <v>10</v>
      </c>
      <c r="C734">
        <v>5385</v>
      </c>
      <c r="D734" t="str">
        <f t="shared" si="11"/>
        <v>Government / authority</v>
      </c>
    </row>
    <row r="735" spans="1:4" x14ac:dyDescent="0.2">
      <c r="A735" t="s">
        <v>66</v>
      </c>
      <c r="B735">
        <v>10</v>
      </c>
      <c r="C735">
        <v>5420</v>
      </c>
      <c r="D735" t="str">
        <f t="shared" si="11"/>
        <v>Government / authority</v>
      </c>
    </row>
    <row r="736" spans="1:4" x14ac:dyDescent="0.2">
      <c r="A736" t="s">
        <v>67</v>
      </c>
      <c r="B736">
        <v>10</v>
      </c>
      <c r="C736">
        <v>2669</v>
      </c>
      <c r="D736" t="str">
        <f t="shared" si="11"/>
        <v>Government / authority</v>
      </c>
    </row>
    <row r="737" spans="1:4" x14ac:dyDescent="0.2">
      <c r="A737" t="s">
        <v>67</v>
      </c>
      <c r="B737">
        <v>10</v>
      </c>
      <c r="C737">
        <v>1310</v>
      </c>
      <c r="D737" t="str">
        <f t="shared" si="11"/>
        <v>Government / authority</v>
      </c>
    </row>
    <row r="738" spans="1:4" x14ac:dyDescent="0.2">
      <c r="A738" t="s">
        <v>67</v>
      </c>
      <c r="B738">
        <v>10</v>
      </c>
      <c r="C738">
        <v>4730</v>
      </c>
      <c r="D738" t="str">
        <f t="shared" si="11"/>
        <v>Government / authority</v>
      </c>
    </row>
    <row r="739" spans="1:4" x14ac:dyDescent="0.2">
      <c r="A739" t="s">
        <v>67</v>
      </c>
      <c r="B739">
        <v>10</v>
      </c>
      <c r="C739">
        <v>2668</v>
      </c>
      <c r="D739" t="str">
        <f t="shared" si="11"/>
        <v>Government / authority</v>
      </c>
    </row>
    <row r="740" spans="1:4" x14ac:dyDescent="0.2">
      <c r="A740" t="s">
        <v>67</v>
      </c>
      <c r="B740">
        <v>10</v>
      </c>
      <c r="C740">
        <v>1318</v>
      </c>
      <c r="D740" t="str">
        <f t="shared" ref="D740:D776" si="12">_xlfn.XLOOKUP(A740,$E$2:$E$53,$F$2:$F$53,,1,)</f>
        <v>Government / authority</v>
      </c>
    </row>
    <row r="741" spans="1:4" x14ac:dyDescent="0.2">
      <c r="A741" t="s">
        <v>67</v>
      </c>
      <c r="B741">
        <v>10</v>
      </c>
      <c r="C741">
        <v>2670</v>
      </c>
      <c r="D741" t="str">
        <f t="shared" si="12"/>
        <v>Government / authority</v>
      </c>
    </row>
    <row r="742" spans="1:4" x14ac:dyDescent="0.2">
      <c r="A742" t="s">
        <v>67</v>
      </c>
      <c r="B742">
        <v>10</v>
      </c>
      <c r="C742">
        <v>1494</v>
      </c>
      <c r="D742" t="str">
        <f t="shared" si="12"/>
        <v>Government / authority</v>
      </c>
    </row>
    <row r="743" spans="1:4" x14ac:dyDescent="0.2">
      <c r="A743" t="s">
        <v>68</v>
      </c>
      <c r="B743">
        <v>10</v>
      </c>
      <c r="C743">
        <v>1810</v>
      </c>
      <c r="D743" t="str">
        <f t="shared" si="12"/>
        <v>Privately held company</v>
      </c>
    </row>
    <row r="744" spans="1:4" x14ac:dyDescent="0.2">
      <c r="A744" t="s">
        <v>68</v>
      </c>
      <c r="B744">
        <v>10</v>
      </c>
      <c r="C744">
        <v>1813</v>
      </c>
      <c r="D744" t="str">
        <f t="shared" si="12"/>
        <v>Privately held company</v>
      </c>
    </row>
    <row r="745" spans="1:4" x14ac:dyDescent="0.2">
      <c r="A745" t="s">
        <v>68</v>
      </c>
      <c r="B745">
        <v>10</v>
      </c>
      <c r="C745">
        <v>1814</v>
      </c>
      <c r="D745" t="str">
        <f t="shared" si="12"/>
        <v>Privately held company</v>
      </c>
    </row>
    <row r="746" spans="1:4" x14ac:dyDescent="0.2">
      <c r="A746" t="s">
        <v>68</v>
      </c>
      <c r="B746">
        <v>10</v>
      </c>
      <c r="C746">
        <v>635</v>
      </c>
      <c r="D746" t="str">
        <f t="shared" si="12"/>
        <v>Privately held company</v>
      </c>
    </row>
    <row r="747" spans="1:4" x14ac:dyDescent="0.2">
      <c r="A747" t="s">
        <v>68</v>
      </c>
      <c r="B747">
        <v>10</v>
      </c>
      <c r="C747">
        <v>2166</v>
      </c>
      <c r="D747" t="str">
        <f t="shared" si="12"/>
        <v>Privately held company</v>
      </c>
    </row>
    <row r="748" spans="1:4" x14ac:dyDescent="0.2">
      <c r="A748" t="s">
        <v>68</v>
      </c>
      <c r="B748">
        <v>10</v>
      </c>
      <c r="C748">
        <v>2825</v>
      </c>
      <c r="D748" t="str">
        <f t="shared" si="12"/>
        <v>Privately held company</v>
      </c>
    </row>
    <row r="749" spans="1:4" x14ac:dyDescent="0.2">
      <c r="A749" t="s">
        <v>68</v>
      </c>
      <c r="B749">
        <v>10</v>
      </c>
      <c r="C749">
        <v>549</v>
      </c>
      <c r="D749" t="str">
        <f t="shared" si="12"/>
        <v>Privately held company</v>
      </c>
    </row>
    <row r="750" spans="1:4" x14ac:dyDescent="0.2">
      <c r="A750" t="s">
        <v>69</v>
      </c>
      <c r="B750">
        <v>10</v>
      </c>
      <c r="C750">
        <v>7206</v>
      </c>
      <c r="D750" t="str">
        <f t="shared" si="12"/>
        <v>Privately held company</v>
      </c>
    </row>
    <row r="751" spans="1:4" x14ac:dyDescent="0.2">
      <c r="A751" t="s">
        <v>69</v>
      </c>
      <c r="B751">
        <v>10</v>
      </c>
      <c r="C751">
        <v>4395</v>
      </c>
      <c r="D751" t="str">
        <f t="shared" si="12"/>
        <v>Privately held company</v>
      </c>
    </row>
    <row r="752" spans="1:4" x14ac:dyDescent="0.2">
      <c r="A752" t="s">
        <v>69</v>
      </c>
      <c r="B752">
        <v>10</v>
      </c>
      <c r="C752">
        <v>6636</v>
      </c>
      <c r="D752" t="str">
        <f t="shared" si="12"/>
        <v>Privately held company</v>
      </c>
    </row>
    <row r="753" spans="1:4" x14ac:dyDescent="0.2">
      <c r="A753" t="s">
        <v>69</v>
      </c>
      <c r="B753">
        <v>10</v>
      </c>
      <c r="C753">
        <v>5690</v>
      </c>
      <c r="D753" t="str">
        <f t="shared" si="12"/>
        <v>Privately held company</v>
      </c>
    </row>
    <row r="754" spans="1:4" x14ac:dyDescent="0.2">
      <c r="A754" t="s">
        <v>69</v>
      </c>
      <c r="B754">
        <v>10</v>
      </c>
      <c r="C754">
        <v>5950</v>
      </c>
      <c r="D754" t="str">
        <f t="shared" si="12"/>
        <v>Privately held company</v>
      </c>
    </row>
    <row r="755" spans="1:4" x14ac:dyDescent="0.2">
      <c r="A755" t="s">
        <v>69</v>
      </c>
      <c r="B755">
        <v>10</v>
      </c>
      <c r="C755">
        <v>5426</v>
      </c>
      <c r="D755" t="str">
        <f t="shared" si="12"/>
        <v>Privately held company</v>
      </c>
    </row>
    <row r="756" spans="1:4" x14ac:dyDescent="0.2">
      <c r="A756" t="s">
        <v>69</v>
      </c>
      <c r="B756">
        <v>10</v>
      </c>
      <c r="C756">
        <v>4612</v>
      </c>
      <c r="D756" t="str">
        <f t="shared" si="12"/>
        <v>Privately held company</v>
      </c>
    </row>
    <row r="757" spans="1:4" x14ac:dyDescent="0.2">
      <c r="A757" t="s">
        <v>69</v>
      </c>
      <c r="B757">
        <v>10</v>
      </c>
      <c r="C757">
        <v>5952</v>
      </c>
      <c r="D757" t="str">
        <f t="shared" si="12"/>
        <v>Privately held company</v>
      </c>
    </row>
    <row r="758" spans="1:4" x14ac:dyDescent="0.2">
      <c r="A758" t="s">
        <v>69</v>
      </c>
      <c r="B758">
        <v>10</v>
      </c>
      <c r="C758">
        <v>6239</v>
      </c>
      <c r="D758" t="str">
        <f t="shared" si="12"/>
        <v>Privately held company</v>
      </c>
    </row>
    <row r="759" spans="1:4" x14ac:dyDescent="0.2">
      <c r="A759" t="s">
        <v>69</v>
      </c>
      <c r="B759">
        <v>10</v>
      </c>
      <c r="C759">
        <v>4391</v>
      </c>
      <c r="D759" t="str">
        <f t="shared" si="12"/>
        <v>Privately held company</v>
      </c>
    </row>
    <row r="760" spans="1:4" x14ac:dyDescent="0.2">
      <c r="A760" t="s">
        <v>70</v>
      </c>
      <c r="B760">
        <v>10</v>
      </c>
      <c r="C760">
        <v>2345</v>
      </c>
      <c r="D760" t="str">
        <f t="shared" si="12"/>
        <v>Government / authority</v>
      </c>
    </row>
    <row r="761" spans="1:4" x14ac:dyDescent="0.2">
      <c r="A761" t="s">
        <v>71</v>
      </c>
      <c r="B761">
        <v>10</v>
      </c>
      <c r="C761">
        <v>923</v>
      </c>
      <c r="D761" t="str">
        <f t="shared" si="12"/>
        <v>Non-profit</v>
      </c>
    </row>
    <row r="762" spans="1:4" x14ac:dyDescent="0.2">
      <c r="A762" t="s">
        <v>71</v>
      </c>
      <c r="B762">
        <v>10</v>
      </c>
      <c r="C762">
        <v>885</v>
      </c>
      <c r="D762" t="str">
        <f t="shared" si="12"/>
        <v>Non-profit</v>
      </c>
    </row>
    <row r="763" spans="1:4" x14ac:dyDescent="0.2">
      <c r="A763" t="s">
        <v>71</v>
      </c>
      <c r="B763">
        <v>10</v>
      </c>
      <c r="C763">
        <v>6605</v>
      </c>
      <c r="D763" t="str">
        <f t="shared" si="12"/>
        <v>Non-profit</v>
      </c>
    </row>
    <row r="764" spans="1:4" x14ac:dyDescent="0.2">
      <c r="A764" t="s">
        <v>71</v>
      </c>
      <c r="B764">
        <v>10</v>
      </c>
      <c r="C764">
        <v>5653</v>
      </c>
      <c r="D764" t="str">
        <f t="shared" si="12"/>
        <v>Non-profit</v>
      </c>
    </row>
    <row r="765" spans="1:4" x14ac:dyDescent="0.2">
      <c r="A765" t="s">
        <v>71</v>
      </c>
      <c r="B765">
        <v>10</v>
      </c>
      <c r="C765">
        <v>891</v>
      </c>
      <c r="D765" t="str">
        <f t="shared" si="12"/>
        <v>Non-profit</v>
      </c>
    </row>
    <row r="766" spans="1:4" x14ac:dyDescent="0.2">
      <c r="A766" t="s">
        <v>71</v>
      </c>
      <c r="B766">
        <v>10</v>
      </c>
      <c r="C766">
        <v>887</v>
      </c>
      <c r="D766" t="str">
        <f t="shared" si="12"/>
        <v>Non-profit</v>
      </c>
    </row>
    <row r="767" spans="1:4" x14ac:dyDescent="0.2">
      <c r="A767" t="s">
        <v>71</v>
      </c>
      <c r="B767">
        <v>10</v>
      </c>
      <c r="C767">
        <v>909</v>
      </c>
      <c r="D767" t="str">
        <f t="shared" si="12"/>
        <v>Non-profit</v>
      </c>
    </row>
    <row r="768" spans="1:4" x14ac:dyDescent="0.2">
      <c r="A768" t="s">
        <v>72</v>
      </c>
      <c r="B768">
        <v>10</v>
      </c>
      <c r="C768">
        <v>7241</v>
      </c>
      <c r="D768" t="str">
        <f t="shared" si="12"/>
        <v>Privately held company</v>
      </c>
    </row>
    <row r="769" spans="1:4" x14ac:dyDescent="0.2">
      <c r="A769" t="s">
        <v>72</v>
      </c>
      <c r="B769">
        <v>10</v>
      </c>
      <c r="C769">
        <v>2990</v>
      </c>
      <c r="D769" t="str">
        <f t="shared" si="12"/>
        <v>Privately held company</v>
      </c>
    </row>
    <row r="770" spans="1:4" x14ac:dyDescent="0.2">
      <c r="A770" t="s">
        <v>72</v>
      </c>
      <c r="B770">
        <v>10</v>
      </c>
      <c r="C770">
        <v>6790</v>
      </c>
      <c r="D770" t="str">
        <f t="shared" si="12"/>
        <v>Privately held company</v>
      </c>
    </row>
    <row r="771" spans="1:4" x14ac:dyDescent="0.2">
      <c r="A771" t="s">
        <v>72</v>
      </c>
      <c r="B771">
        <v>10</v>
      </c>
      <c r="C771">
        <v>7111</v>
      </c>
      <c r="D771" t="str">
        <f t="shared" si="12"/>
        <v>Privately held company</v>
      </c>
    </row>
    <row r="772" spans="1:4" x14ac:dyDescent="0.2">
      <c r="A772" t="s">
        <v>72</v>
      </c>
      <c r="B772">
        <v>10</v>
      </c>
      <c r="C772">
        <v>2510</v>
      </c>
      <c r="D772" t="str">
        <f t="shared" si="12"/>
        <v>Privately held company</v>
      </c>
    </row>
    <row r="773" spans="1:4" x14ac:dyDescent="0.2">
      <c r="A773" t="s">
        <v>72</v>
      </c>
      <c r="B773">
        <v>10</v>
      </c>
      <c r="C773">
        <v>3006</v>
      </c>
      <c r="D773" t="str">
        <f t="shared" si="12"/>
        <v>Privately held company</v>
      </c>
    </row>
    <row r="774" spans="1:4" x14ac:dyDescent="0.2">
      <c r="A774" t="s">
        <v>72</v>
      </c>
      <c r="B774">
        <v>10</v>
      </c>
      <c r="C774">
        <v>2726</v>
      </c>
      <c r="D774" t="str">
        <f t="shared" si="12"/>
        <v>Privately held company</v>
      </c>
    </row>
    <row r="775" spans="1:4" x14ac:dyDescent="0.2">
      <c r="A775" t="s">
        <v>72</v>
      </c>
      <c r="B775">
        <v>10</v>
      </c>
      <c r="C775">
        <v>4822</v>
      </c>
      <c r="D775" t="str">
        <f t="shared" si="12"/>
        <v>Privately held company</v>
      </c>
    </row>
    <row r="776" spans="1:4" x14ac:dyDescent="0.2">
      <c r="A776" t="s">
        <v>72</v>
      </c>
      <c r="B776">
        <v>10</v>
      </c>
      <c r="C776">
        <v>1195</v>
      </c>
      <c r="D776" t="str">
        <f t="shared" si="12"/>
        <v>Privately held company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sponsors_ids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Mutayyeb Malik</cp:lastModifiedBy>
  <dcterms:created xsi:type="dcterms:W3CDTF">2026-01-16T18:59:54Z</dcterms:created>
  <dcterms:modified xsi:type="dcterms:W3CDTF">2026-01-18T10:02:33Z</dcterms:modified>
</cp:coreProperties>
</file>